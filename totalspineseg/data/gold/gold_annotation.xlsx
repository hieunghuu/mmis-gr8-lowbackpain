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NhanBenh" sheetId="2" state="visible" r:id="rId2"/>
    <sheet name="QuyUoc" sheetId="3" state="visible" r:id="rId3"/>
    <sheet name="ViDu" sheetId="4" state="visible" r:id="rId4"/>
    <sheet name="Notes" sheetId="5" state="visible" r:id="rId5"/>
    <sheet name="Labels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595959"/>
    </font>
    <font>
      <b val="1"/>
      <color rgb="001F4E7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  <col width="16" customWidth="1" min="4" max="4"/>
  </cols>
  <sheetData>
    <row r="1">
      <c r="A1" s="1" t="inlineStr">
        <is>
          <t>Hướng dẫn gán nhãn bộ chuẩn vàng – 80 ghi chú bác sĩ</t>
        </is>
      </c>
    </row>
    <row r="2">
      <c r="A2" s="2" t="inlineStr">
        <is>
          <t>Bộ nhãn này là ĐÁP ÁN để chấm độ chính xác của bộ rule NLP (README bước 5).</t>
        </is>
      </c>
    </row>
    <row r="4">
      <c r="A4" s="3" t="inlineStr">
        <is>
          <t>1. Các sheet trong file</t>
        </is>
      </c>
    </row>
    <row r="5">
      <c r="A5" s="4" t="inlineStr">
        <is>
          <t>Sheet</t>
        </is>
      </c>
      <c r="B5" s="4" t="inlineStr">
        <is>
          <t>Dùng để</t>
        </is>
      </c>
    </row>
    <row r="6">
      <c r="A6" s="5" t="inlineStr">
        <is>
          <t>HuongDan</t>
        </is>
      </c>
      <c r="B6" s="5" t="inlineStr">
        <is>
          <t>Đọc trước: các bước và ý nghĩa từng cột</t>
        </is>
      </c>
    </row>
    <row r="7">
      <c r="A7" s="5" t="inlineStr">
        <is>
          <t>NhanBenh</t>
        </is>
      </c>
      <c r="B7" s="5" t="inlineStr">
        <is>
          <t>Bảng tra 23 nhãn: tên tiếng Việt, cách bác sĩ thường viết</t>
        </is>
      </c>
    </row>
    <row r="8">
      <c r="A8" s="5" t="inlineStr">
        <is>
          <t>QuyUoc</t>
        </is>
      </c>
      <c r="B8" s="5" t="inlineStr">
        <is>
          <t>Các tình huống khó (Q1–Q12), cách chọn mức độ và bên</t>
        </is>
      </c>
    </row>
    <row r="9">
      <c r="A9" s="5" t="inlineStr">
        <is>
          <t>ViDu</t>
        </is>
      </c>
      <c r="B9" s="5" t="inlineStr">
        <is>
          <t>Một ghi chú đã gán nhãn mẫu (không thuộc 80 ghi chú cần gán)</t>
        </is>
      </c>
    </row>
    <row r="10">
      <c r="A10" s="5" t="inlineStr">
        <is>
          <t>Notes</t>
        </is>
      </c>
      <c r="B10" s="5" t="inlineStr">
        <is>
          <t>80 ghi chú cần gán; cột "da_gan" đếm số dòng đã nhập (đỏ = chưa gán)</t>
        </is>
      </c>
    </row>
    <row r="11">
      <c r="A11" s="5" t="inlineStr">
        <is>
          <t>Labels</t>
        </is>
      </c>
      <c r="B11" s="5" t="inlineStr">
        <is>
          <t>NƠI NHẬP NHÃN – mỗi phát hiện một dòng, chọn giá trị từ danh sách thả xuống</t>
        </is>
      </c>
    </row>
    <row r="13">
      <c r="A13" s="3" t="inlineStr">
        <is>
          <t>2. Các bước</t>
        </is>
      </c>
    </row>
    <row r="14">
      <c r="A14" s="4" t="inlineStr">
        <is>
          <t>Bước</t>
        </is>
      </c>
      <c r="B14" s="4" t="inlineStr">
        <is>
          <t>Việc cần làm</t>
        </is>
      </c>
    </row>
    <row r="15">
      <c r="A15" s="5" t="n">
        <v>1</v>
      </c>
      <c r="B15" s="5" t="inlineStr">
        <is>
          <t>Đọc sheet NhanBenh, QuyUoc và ví dụ ở sheet ViDu (khoảng 10 phút).</t>
        </is>
      </c>
    </row>
    <row r="16">
      <c r="A16" s="5" t="n">
        <v>2</v>
      </c>
      <c r="B16" s="5" t="inlineStr">
        <is>
          <t>Ở sheet Notes, đọc lần lượt từng ghi chú.</t>
        </is>
      </c>
    </row>
    <row r="17">
      <c r="A17" s="5" t="n">
        <v>3</v>
      </c>
      <c r="B17" s="5" t="inlineStr">
        <is>
          <t>Mỗi PHÁT HIỆN được nhắc → nhập 1 dòng ở sheet Labels. Một câu nhắc 2 tầng → 2 dòng.</t>
        </is>
      </c>
    </row>
    <row r="18">
      <c r="A18" s="5" t="n">
        <v>4</v>
      </c>
      <c r="B18" s="5" t="inlineStr">
        <is>
          <t>Ghi CẢ phát hiện bị phủ định (vd "No evidence of disc herniation") với present = FALSE.</t>
        </is>
      </c>
    </row>
    <row r="19">
      <c r="A19" s="5" t="n">
        <v>5</v>
      </c>
      <c r="B19" s="5" t="inlineStr">
        <is>
          <t>Ghi chú không có phát hiện nào → 1 dòng finding = none, level = UNSPEC.</t>
        </is>
      </c>
    </row>
    <row r="20">
      <c r="A20" s="5" t="n">
        <v>6</v>
      </c>
      <c r="B20" s="5" t="inlineStr">
        <is>
          <t>Phân vân → vẫn ghi theo cách hiểu tốt nhất và giải thích ngắn ở cột comment.</t>
        </is>
      </c>
    </row>
    <row r="21">
      <c r="A21" s="5" t="n">
        <v>7</v>
      </c>
      <c r="B21" s="5" t="inlineStr">
        <is>
          <t>Xong: kiểm tra sheet Notes – không còn ô đỏ ở cột da_gan.</t>
        </is>
      </c>
    </row>
    <row r="23">
      <c r="A23" s="3" t="inlineStr">
        <is>
          <t>3. Ý nghĩa các cột ở sheet Labels</t>
        </is>
      </c>
    </row>
    <row r="24">
      <c r="A24" s="4" t="inlineStr">
        <is>
          <t>Cột</t>
        </is>
      </c>
      <c r="B24" s="4" t="inlineStr">
        <is>
          <t>Ý nghĩa</t>
        </is>
      </c>
      <c r="C24" s="4" t="inlineStr">
        <is>
          <t>Giá trị cho phép</t>
        </is>
      </c>
      <c r="D24" s="4" t="inlineStr">
        <is>
          <t>Ví dụ</t>
        </is>
      </c>
    </row>
    <row r="25">
      <c r="A25" s="5" t="inlineStr">
        <is>
          <t>patient_id</t>
        </is>
      </c>
      <c r="B25" s="5" t="inlineStr">
        <is>
          <t>Mã bệnh nhân (chọn trong danh sách 80 mã ở sheet Notes)</t>
        </is>
      </c>
      <c r="C25" s="5" t="inlineStr">
        <is>
          <t>80 mã gold</t>
        </is>
      </c>
      <c r="D25" s="5" t="inlineStr">
        <is>
          <t>15</t>
        </is>
      </c>
    </row>
    <row r="26">
      <c r="A26" s="5" t="inlineStr">
        <is>
          <t>level</t>
        </is>
      </c>
      <c r="B26" s="5" t="inlineStr">
        <is>
          <t>Tầng đĩa đệm của phát hiện</t>
        </is>
      </c>
      <c r="C26" s="5" t="inlineStr">
        <is>
          <t>T12-L1 … L5-S1, UNSPEC</t>
        </is>
      </c>
      <c r="D26" s="5" t="inlineStr">
        <is>
          <t>L4-L5</t>
        </is>
      </c>
    </row>
    <row r="27">
      <c r="A27" s="5" t="inlineStr">
        <is>
          <t>vertebra</t>
        </is>
      </c>
      <c r="B27" s="5" t="inlineStr">
        <is>
          <t>Chỉ khi phát hiện gắn với một ĐỐT (vd "L2 vertebral body")</t>
        </is>
      </c>
      <c r="C27" s="5" t="inlineStr">
        <is>
          <t>T12, L1 … S1 hoặc để trống</t>
        </is>
      </c>
      <c r="D27" s="5" t="inlineStr">
        <is>
          <t>L2</t>
        </is>
      </c>
    </row>
    <row r="28">
      <c r="A28" s="5" t="inlineStr">
        <is>
          <t>root</t>
        </is>
      </c>
      <c r="B28" s="5" t="inlineStr">
        <is>
          <t>Tên rễ thần kinh nếu được nêu (vd "Lt S1 nerve root")</t>
        </is>
      </c>
      <c r="C28" s="5" t="inlineStr">
        <is>
          <t>Gõ tay, vd S1</t>
        </is>
      </c>
      <c r="D28" s="5" t="inlineStr">
        <is>
          <t>S1</t>
        </is>
      </c>
    </row>
    <row r="29">
      <c r="A29" s="5" t="inlineStr">
        <is>
          <t>finding</t>
        </is>
      </c>
      <c r="B29" s="5" t="inlineStr">
        <is>
          <t>Loại phát hiện – tra bảng ở sheet NhanBenh</t>
        </is>
      </c>
      <c r="C29" s="5" t="inlineStr">
        <is>
          <t>23 nhãn</t>
        </is>
      </c>
      <c r="D29" s="5" t="inlineStr">
        <is>
          <t>disc_bulge</t>
        </is>
      </c>
    </row>
    <row r="30">
      <c r="A30" s="5" t="inlineStr">
        <is>
          <t>present</t>
        </is>
      </c>
      <c r="B30" s="5" t="inlineStr">
        <is>
          <t>TRUE = có; FALSE = bị phủ định ("No evidence of …")</t>
        </is>
      </c>
      <c r="C30" s="5" t="inlineStr">
        <is>
          <t>TRUE / FALSE</t>
        </is>
      </c>
      <c r="D30" s="5" t="inlineStr">
        <is>
          <t>TRUE</t>
        </is>
      </c>
    </row>
    <row r="31">
      <c r="A31" s="5" t="inlineStr">
        <is>
          <t>severity</t>
        </is>
      </c>
      <c r="B31" s="5" t="inlineStr">
        <is>
          <t>Mức độ – tra bảng ở sheet QuyUoc</t>
        </is>
      </c>
      <c r="C31" s="5" t="inlineStr">
        <is>
          <t>unspecified, mild, moderate, severe</t>
        </is>
      </c>
      <c r="D31" s="5" t="inlineStr">
        <is>
          <t>mild</t>
        </is>
      </c>
    </row>
    <row r="32">
      <c r="A32" s="5" t="inlineStr">
        <is>
          <t>side</t>
        </is>
      </c>
      <c r="B32" s="5" t="inlineStr">
        <is>
          <t>Bên – tra bảng ở sheet QuyUoc</t>
        </is>
      </c>
      <c r="C32" s="5" t="inlineStr">
        <is>
          <t>unspecified, left, right, bilateral, central</t>
        </is>
      </c>
      <c r="D32" s="5" t="inlineStr">
        <is>
          <t>left</t>
        </is>
      </c>
    </row>
    <row r="33">
      <c r="A33" s="5" t="inlineStr">
        <is>
          <t>comment</t>
        </is>
      </c>
      <c r="B33" s="5" t="inlineStr">
        <is>
          <t>Ghi chú khi phân vân, hoặc mô tả cho nhãn other</t>
        </is>
      </c>
      <c r="C33" s="5" t="inlineStr">
        <is>
          <t>Tự do, ngắn</t>
        </is>
      </c>
      <c r="D33" s="5" t="inlineStr">
        <is>
          <t>không chắc tầng</t>
        </is>
      </c>
    </row>
    <row r="35">
      <c r="A35" s="3" t="inlineStr">
        <is>
          <t>4. Gán tầng (level)</t>
        </is>
      </c>
    </row>
    <row r="36">
      <c r="A36" s="4" t="inlineStr">
        <is>
          <t>Tình huống</t>
        </is>
      </c>
      <c r="B36" s="4" t="inlineStr">
        <is>
          <t>Gán thế nào</t>
        </is>
      </c>
    </row>
    <row r="37">
      <c r="A37" s="5" t="inlineStr">
        <is>
          <t>Câu có tầng (L4/5, L4-5, L4-L5 …)</t>
        </is>
      </c>
      <c r="B37" s="5" t="inlineStr">
        <is>
          <t>Ghi đúng tầng đó, viết theo dạng chuẩn L4-L5, L5-S1</t>
        </is>
      </c>
    </row>
    <row r="38">
      <c r="A38" s="5" t="inlineStr">
        <is>
          <t>Câu KHẲNG ĐỊNH không có tầng nhưng nói tiếp câu trước có tầng</t>
        </is>
      </c>
      <c r="B38" s="5" t="inlineStr">
        <is>
          <t>Dùng tầng của câu trước</t>
        </is>
      </c>
    </row>
    <row r="39">
      <c r="A39" s="5" t="inlineStr">
        <is>
          <t>Câu PHỦ ĐỊNH khuôn mẫu không có tầng ("No significant … compression")</t>
        </is>
      </c>
      <c r="B39" s="5" t="inlineStr">
        <is>
          <t>UNSPEC (Q12)</t>
        </is>
      </c>
    </row>
    <row r="40">
      <c r="A40" s="5" t="inlineStr">
        <is>
          <t>Không có tầng nào</t>
        </is>
      </c>
      <c r="B40" s="5" t="inlineStr">
        <is>
          <t>UNSPEC (Q7)</t>
        </is>
      </c>
    </row>
    <row r="41">
      <c r="A41" s="5" t="inlineStr">
        <is>
          <t>"Lt S1 nerve root"</t>
        </is>
      </c>
      <c r="B41" s="5" t="inlineStr">
        <is>
          <t>S1 là tên rễ → cột root, KHÔNG phải tầng</t>
        </is>
      </c>
    </row>
    <row r="42">
      <c r="A42" s="5" t="inlineStr">
        <is>
          <t>"L2 vertebral body"</t>
        </is>
      </c>
      <c r="B42" s="5" t="inlineStr">
        <is>
          <t>Cột vertebra = L2, level = UNSPEC (trừ khi câu có tầng đĩa)</t>
        </is>
      </c>
    </row>
    <row r="44">
      <c r="A44" s="3" t="inlineStr">
        <is>
          <t>5. Làm độc lập</t>
        </is>
      </c>
    </row>
    <row r="45" ht="32" customHeight="1">
      <c r="A45" s="6" t="inlineStr">
        <is>
          <t>Hai người gán riêng (copy thành gold_labels_A.xlsx, gold_labels_B.xlsx), không trao đổi trước khi xong; sau đó so sánh, thống nhất thành gold_labels_final.xlsx.</t>
        </is>
      </c>
    </row>
  </sheetData>
  <mergeCells count="1">
    <mergeCell ref="A45:D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8" customWidth="1" min="3" max="3"/>
    <col width="58" customWidth="1" min="4" max="4"/>
  </cols>
  <sheetData>
    <row r="1">
      <c r="A1" s="1" t="inlineStr">
        <is>
          <t>Bảng tra nhãn (cột finding)</t>
        </is>
      </c>
    </row>
    <row r="2">
      <c r="A2" s="2" t="inlineStr">
        <is>
          <t>Tra cột "Cách bác sĩ thường viết" khi gặp cụm từ trong ghi chú.</t>
        </is>
      </c>
    </row>
    <row r="4">
      <c r="A4" s="4" t="inlineStr">
        <is>
          <t>Nhãn (finding)</t>
        </is>
      </c>
      <c r="B4" s="4" t="inlineStr">
        <is>
          <t>Tên tiếng Việt</t>
        </is>
      </c>
      <c r="C4" s="4" t="inlineStr">
        <is>
          <t>Cách bác sĩ thường viết</t>
        </is>
      </c>
      <c r="D4" s="4" t="inlineStr">
        <is>
          <t>Ghi chú</t>
        </is>
      </c>
    </row>
    <row r="5">
      <c r="A5" s="5" t="inlineStr">
        <is>
          <t>disc_bulge</t>
        </is>
      </c>
      <c r="B5" s="5" t="inlineStr">
        <is>
          <t>Phồng đĩa đệm</t>
        </is>
      </c>
      <c r="C5" s="5" t="inlineStr">
        <is>
          <t>disc bulge, diffuse bulge, bulging</t>
        </is>
      </c>
      <c r="D5" s="5" t="inlineStr"/>
    </row>
    <row r="6">
      <c r="A6" s="5" t="inlineStr">
        <is>
          <t>disc_protrusion</t>
        </is>
      </c>
      <c r="B6" s="5" t="inlineStr">
        <is>
          <t>Lồi đĩa đệm</t>
        </is>
      </c>
      <c r="C6" s="5" t="inlineStr">
        <is>
          <t>protrusion, protruding</t>
        </is>
      </c>
      <c r="D6" s="5" t="inlineStr">
        <is>
          <t>Lồi khu trú; có thể đi kèm phồng (Q4)</t>
        </is>
      </c>
    </row>
    <row r="7">
      <c r="A7" s="5" t="inlineStr">
        <is>
          <t>disc_herniation</t>
        </is>
      </c>
      <c r="B7" s="5" t="inlineStr">
        <is>
          <t>Thoát vị đĩa đệm</t>
        </is>
      </c>
      <c r="C7" s="5" t="inlineStr">
        <is>
          <t>herniation; extruded / sequestrated / detached disc fragment</t>
        </is>
      </c>
      <c r="D7" s="5" t="inlineStr">
        <is>
          <t>Chữ "herniation" thường nằm trong câu phủ định. Mảnh đĩa tách rời / đẩy ra = thoát vị (Q3)</t>
        </is>
      </c>
    </row>
    <row r="8">
      <c r="A8" s="5" t="inlineStr">
        <is>
          <t>thecal_sac_compression</t>
        </is>
      </c>
      <c r="B8" s="5" t="inlineStr">
        <is>
          <t>Chèn ép bao màng cứng</t>
        </is>
      </c>
      <c r="C8" s="5" t="inlineStr">
        <is>
          <t>compressing / indenting the thecal sac</t>
        </is>
      </c>
      <c r="D8" s="5" t="inlineStr">
        <is>
          <t>"abutting" (chạm) KHÔNG phải chèn ép (Q1)</t>
        </is>
      </c>
    </row>
    <row r="9">
      <c r="A9" s="5" t="inlineStr">
        <is>
          <t>nerve_root_compression</t>
        </is>
      </c>
      <c r="B9" s="5" t="inlineStr">
        <is>
          <t>Chèn ép rễ thần kinh</t>
        </is>
      </c>
      <c r="C9" s="5" t="inlineStr">
        <is>
          <t>compressing / encroaching (exit) nerve root(s)</t>
        </is>
      </c>
      <c r="D9" s="5" t="inlineStr">
        <is>
          <t>"encroaching" = chèn ép (Q2). "Lt S1 nerve root": ghi S1 vào cột root</t>
        </is>
      </c>
    </row>
    <row r="10">
      <c r="A10" s="5" t="inlineStr">
        <is>
          <t>foraminal_stenosis</t>
        </is>
      </c>
      <c r="B10" s="5" t="inlineStr">
        <is>
          <t>Hẹp lỗ liên hợp</t>
        </is>
      </c>
      <c r="C10" s="5" t="inlineStr">
        <is>
          <t>narrowing neural foramen; encroaching exit (neural) canal</t>
        </is>
      </c>
      <c r="D10" s="5" t="inlineStr">
        <is>
          <t>Exit canal = lỗ liên hợp (Q5)</t>
        </is>
      </c>
    </row>
    <row r="11">
      <c r="A11" s="5" t="inlineStr">
        <is>
          <t>spinal_canal_stenosis</t>
        </is>
      </c>
      <c r="B11" s="5" t="inlineStr">
        <is>
          <t>Hẹp ống sống</t>
        </is>
      </c>
      <c r="C11" s="5" t="inlineStr">
        <is>
          <t>canal stenosis, narrowed (spinal) canal</t>
        </is>
      </c>
      <c r="D11" s="5" t="inlineStr">
        <is>
          <t>"adequate spinal canal" → FALSE (Q6). "extending to lateral recess" chỉ là vị trí, không phải hẹp</t>
        </is>
      </c>
    </row>
    <row r="12">
      <c r="A12" s="5" t="inlineStr">
        <is>
          <t>annular_tear</t>
        </is>
      </c>
      <c r="B12" s="5" t="inlineStr">
        <is>
          <t>Rách vòng xơ</t>
        </is>
      </c>
      <c r="C12" s="5" t="inlineStr">
        <is>
          <t>annular tear, torn annulus, high signal in the annulus</t>
        </is>
      </c>
      <c r="D12" s="5" t="inlineStr"/>
    </row>
    <row r="13">
      <c r="A13" s="5" t="inlineStr">
        <is>
          <t>disc_desiccation</t>
        </is>
      </c>
      <c r="B13" s="5" t="inlineStr">
        <is>
          <t>Mất nước đĩa đệm</t>
        </is>
      </c>
      <c r="C13" s="5" t="inlineStr">
        <is>
          <t>desiccation, dehydrated disc; "dissicating disc material" (viết sai)</t>
        </is>
      </c>
      <c r="D13" s="5" t="inlineStr"/>
    </row>
    <row r="14">
      <c r="A14" s="5" t="inlineStr">
        <is>
          <t>muscle_spasm</t>
        </is>
      </c>
      <c r="B14" s="5" t="inlineStr">
        <is>
          <t>Co cứng cơ</t>
        </is>
      </c>
      <c r="C14" s="5" t="inlineStr">
        <is>
          <t>muscle spasm</t>
        </is>
      </c>
      <c r="D14" s="5" t="inlineStr">
        <is>
          <t>Luôn ghi tầng UNSPEC</t>
        </is>
      </c>
    </row>
    <row r="15">
      <c r="A15" s="5" t="inlineStr">
        <is>
          <t>spondylolisthesis</t>
        </is>
      </c>
      <c r="B15" s="5" t="inlineStr">
        <is>
          <t>Trượt đốt sống</t>
        </is>
      </c>
      <c r="C15" s="5" t="inlineStr">
        <is>
          <t>spondylolisthesis, listhesis, "L5 over S1"</t>
        </is>
      </c>
      <c r="D15" s="5" t="inlineStr">
        <is>
          <t>"L5 over S1" → tầng L5-S1; độ I/II ghi vào comment</t>
        </is>
      </c>
    </row>
    <row r="16">
      <c r="A16" s="5" t="inlineStr">
        <is>
          <t>endplate_degeneration</t>
        </is>
      </c>
      <c r="B16" s="5" t="inlineStr">
        <is>
          <t>Thoái hóa tấm tận</t>
        </is>
      </c>
      <c r="C16" s="5" t="inlineStr">
        <is>
          <t>Modic changes, endplate changes / irregular endplates</t>
        </is>
      </c>
      <c r="D16" s="5" t="inlineStr"/>
    </row>
    <row r="17">
      <c r="A17" s="5" t="inlineStr">
        <is>
          <t>schmorl_nodes</t>
        </is>
      </c>
      <c r="B17" s="5" t="inlineStr">
        <is>
          <t>Nốt Schmorl</t>
        </is>
      </c>
      <c r="C17" s="5" t="inlineStr">
        <is>
          <t>Schmorl's node(s)</t>
        </is>
      </c>
      <c r="D17" s="5" t="inlineStr">
        <is>
          <t>Thường gắn với đốt → cột vertebra</t>
        </is>
      </c>
    </row>
    <row r="18">
      <c r="A18" s="5" t="inlineStr">
        <is>
          <t>bone_marrow_lesion</t>
        </is>
      </c>
      <c r="B18" s="5" t="inlineStr">
        <is>
          <t>Tổn thương tủy xương</t>
        </is>
      </c>
      <c r="C18" s="5" t="inlineStr">
        <is>
          <t>marrow edema / signal change, hemangioma</t>
        </is>
      </c>
      <c r="D18" s="5" t="inlineStr">
        <is>
          <t>Thường gắn với đốt → cột vertebra</t>
        </is>
      </c>
    </row>
    <row r="19">
      <c r="A19" s="5" t="inlineStr">
        <is>
          <t>ligamentum_flavum_hypertrophy</t>
        </is>
      </c>
      <c r="B19" s="5" t="inlineStr">
        <is>
          <t>Phì đại dây chằng vàng</t>
        </is>
      </c>
      <c r="C19" s="5" t="inlineStr">
        <is>
          <t>ligamentum flavum hypertrophy</t>
        </is>
      </c>
      <c r="D19" s="5" t="inlineStr"/>
    </row>
    <row r="20">
      <c r="A20" s="5" t="inlineStr">
        <is>
          <t>facet_arthropathy</t>
        </is>
      </c>
      <c r="B20" s="5" t="inlineStr">
        <is>
          <t>Thoái hóa khớp mặt</t>
        </is>
      </c>
      <c r="C20" s="5" t="inlineStr">
        <is>
          <t>facet arthropathy / hypertrophy / degeneration</t>
        </is>
      </c>
      <c r="D20" s="5" t="inlineStr"/>
    </row>
    <row r="21">
      <c r="A21" s="5" t="inlineStr">
        <is>
          <t>scoliosis</t>
        </is>
      </c>
      <c r="B21" s="5" t="inlineStr">
        <is>
          <t>Vẹo cột sống</t>
        </is>
      </c>
      <c r="C21" s="5" t="inlineStr">
        <is>
          <t>scoliosis</t>
        </is>
      </c>
      <c r="D21" s="5" t="inlineStr">
        <is>
          <t>Luôn ghi tầng UNSPEC</t>
        </is>
      </c>
    </row>
    <row r="22">
      <c r="A22" s="5" t="inlineStr">
        <is>
          <t>tarlov_cyst</t>
        </is>
      </c>
      <c r="B22" s="5" t="inlineStr">
        <is>
          <t>Nang Tarlov</t>
        </is>
      </c>
      <c r="C22" s="5" t="inlineStr">
        <is>
          <t>Tarlov cyst, perineural cyst</t>
        </is>
      </c>
      <c r="D22" s="5" t="inlineStr"/>
    </row>
    <row r="23">
      <c r="A23" s="5" t="inlineStr">
        <is>
          <t>vertebral_fracture</t>
        </is>
      </c>
      <c r="B23" s="5" t="inlineStr">
        <is>
          <t>Gãy / lún đốt sống</t>
        </is>
      </c>
      <c r="C23" s="5" t="inlineStr">
        <is>
          <t>fracture, wedging, collapse</t>
        </is>
      </c>
      <c r="D23" s="5" t="inlineStr">
        <is>
          <t>Thường gắn với đốt → cột vertebra</t>
        </is>
      </c>
    </row>
    <row r="24">
      <c r="A24" s="5" t="inlineStr">
        <is>
          <t>osteophyte</t>
        </is>
      </c>
      <c r="B24" s="5" t="inlineStr">
        <is>
          <t>Gai xương</t>
        </is>
      </c>
      <c r="C24" s="5" t="inlineStr">
        <is>
          <t>osteophyte(s), spur</t>
        </is>
      </c>
      <c r="D24" s="5" t="inlineStr"/>
    </row>
    <row r="25">
      <c r="A25" s="5" t="inlineStr">
        <is>
          <t>disc_space_narrowing</t>
        </is>
      </c>
      <c r="B25" s="5" t="inlineStr">
        <is>
          <t>Hẹp khoang đĩa</t>
        </is>
      </c>
      <c r="C25" s="5" t="inlineStr">
        <is>
          <t>narrowed disc space(s)</t>
        </is>
      </c>
      <c r="D25" s="5" t="inlineStr">
        <is>
          <t>Đĩa bị xẹp – đo được trên ảnh</t>
        </is>
      </c>
    </row>
    <row r="26">
      <c r="A26" s="5" t="inlineStr">
        <is>
          <t>other</t>
        </is>
      </c>
      <c r="B26" s="5" t="inlineStr">
        <is>
          <t>Phát hiện cột sống khác</t>
        </is>
      </c>
      <c r="C26" s="5" t="inlineStr">
        <is>
          <t>vd hậu phẫu, "degenerative spondylotic changes"</t>
        </is>
      </c>
      <c r="D26" s="5" t="inlineStr">
        <is>
          <t>Bắt buộc mô tả ở cột comment</t>
        </is>
      </c>
    </row>
    <row r="27">
      <c r="A27" s="5" t="inlineStr">
        <is>
          <t>none</t>
        </is>
      </c>
      <c r="B27" s="5" t="inlineStr">
        <is>
          <t>Không có phát hiện nào</t>
        </is>
      </c>
      <c r="C27" s="5" t="inlineStr">
        <is>
          <t>–</t>
        </is>
      </c>
      <c r="D27" s="5" t="inlineStr">
        <is>
          <t>Ghi chú không nhắc phát hiện nào → 1 dòng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  <col width="40" customWidth="1" min="4" max="4"/>
  </cols>
  <sheetData>
    <row r="1">
      <c r="A1" s="1" t="inlineStr">
        <is>
          <t>Quy ước cho các tình huống khó</t>
        </is>
      </c>
    </row>
    <row r="2">
      <c r="A2" s="2" t="inlineStr">
        <is>
          <t>Giống README mục 5.5 – dùng chung cho người gán nhãn và bộ rule.</t>
        </is>
      </c>
    </row>
    <row r="4">
      <c r="A4" s="4" t="inlineStr">
        <is>
          <t>Mã</t>
        </is>
      </c>
      <c r="B4" s="4" t="inlineStr">
        <is>
          <t>Gặp câu như thế nào</t>
        </is>
      </c>
      <c r="C4" s="4" t="inlineStr">
        <is>
          <t>Gán thế nào</t>
        </is>
      </c>
      <c r="D4" s="4" t="inlineStr">
        <is>
          <t>Lý do</t>
        </is>
      </c>
    </row>
    <row r="5">
      <c r="A5" s="5" t="inlineStr">
        <is>
          <t>Q1</t>
        </is>
      </c>
      <c r="B5" s="5" t="inlineStr">
        <is>
          <t>"abutting" (chạm) thecal sac / nerve root</t>
        </is>
      </c>
      <c r="C5" s="5" t="inlineStr">
        <is>
          <t>Ghi chèn ép với present = FALSE</t>
        </is>
      </c>
      <c r="D5" s="5" t="inlineStr">
        <is>
          <t>Chạm ≠ đè</t>
        </is>
      </c>
    </row>
    <row r="6">
      <c r="A6" s="5" t="inlineStr">
        <is>
          <t>Q2</t>
        </is>
      </c>
      <c r="B6" s="5" t="inlineStr">
        <is>
          <t>"encroaching (exit) nerve roots"</t>
        </is>
      </c>
      <c r="C6" s="5" t="inlineStr">
        <is>
          <t>nerve_root_compression = TRUE</t>
        </is>
      </c>
      <c r="D6" s="5" t="inlineStr">
        <is>
          <t>Bác sĩ dùng thay cho "compressing"</t>
        </is>
      </c>
    </row>
    <row r="7">
      <c r="A7" s="5" t="inlineStr">
        <is>
          <t>Q3</t>
        </is>
      </c>
      <c r="B7" s="5" t="inlineStr">
        <is>
          <t>"sequestrated / extruded / detached disc fragment"</t>
        </is>
      </c>
      <c r="C7" s="5" t="inlineStr">
        <is>
          <t>disc_herniation = TRUE</t>
        </is>
      </c>
      <c r="D7" s="5" t="inlineStr">
        <is>
          <t>Theo danh pháp Fardon đây là dạng thoát vị</t>
        </is>
      </c>
    </row>
    <row r="8">
      <c r="A8" s="5" t="inlineStr">
        <is>
          <t>Q4</t>
        </is>
      </c>
      <c r="B8" s="5" t="inlineStr">
        <is>
          <t>"protrusion on top of disc bulge"</t>
        </is>
      </c>
      <c r="C8" s="5" t="inlineStr">
        <is>
          <t>Ghi CẢ HAI: disc_protrusion và disc_bulge</t>
        </is>
      </c>
      <c r="D8" s="5" t="inlineStr">
        <is>
          <t>Hai hình thái cùng tồn tại</t>
        </is>
      </c>
    </row>
    <row r="9">
      <c r="A9" s="5" t="inlineStr">
        <is>
          <t>Q5</t>
        </is>
      </c>
      <c r="B9" s="5" t="inlineStr">
        <is>
          <t>"compressing / encroaching exit (neural) canal"</t>
        </is>
      </c>
      <c r="C9" s="5" t="inlineStr">
        <is>
          <t>foraminal_stenosis = TRUE</t>
        </is>
      </c>
      <c r="D9" s="5" t="inlineStr">
        <is>
          <t>Exit canal = lỗ liên hợp</t>
        </is>
      </c>
    </row>
    <row r="10">
      <c r="A10" s="5" t="inlineStr">
        <is>
          <t>Q6</t>
        </is>
      </c>
      <c r="B10" s="5" t="inlineStr">
        <is>
          <t>"adequate spinal canal"</t>
        </is>
      </c>
      <c r="C10" s="5" t="inlineStr">
        <is>
          <t>spinal_canal_stenosis, present = FALSE</t>
        </is>
      </c>
      <c r="D10" s="5" t="inlineStr">
        <is>
          <t>Câu mô tả bình thường</t>
        </is>
      </c>
    </row>
    <row r="11">
      <c r="A11" s="5" t="inlineStr">
        <is>
          <t>Q7</t>
        </is>
      </c>
      <c r="B11" s="5" t="inlineStr">
        <is>
          <t>Câu không nhắc tầng nào</t>
        </is>
      </c>
      <c r="C11" s="5" t="inlineStr">
        <is>
          <t>level = UNSPEC</t>
        </is>
      </c>
      <c r="D11" s="5" t="inlineStr">
        <is>
          <t>Không ghép được với ảnh theo tầng</t>
        </is>
      </c>
    </row>
    <row r="12">
      <c r="A12" s="5" t="inlineStr">
        <is>
          <t>Q8</t>
        </is>
      </c>
      <c r="B12" s="5" t="inlineStr">
        <is>
          <t>"multilevel … noticeably at L3-L4 &amp; L4-L5"</t>
        </is>
      </c>
      <c r="C12" s="5" t="inlineStr">
        <is>
          <t>Chỉ ghi các tầng được nêu tên</t>
        </is>
      </c>
      <c r="D12" s="5" t="inlineStr">
        <is>
          <t>Không suy diễn tầng không được viết</t>
        </is>
      </c>
    </row>
    <row r="13">
      <c r="A13" s="5" t="inlineStr">
        <is>
          <t>Q9</t>
        </is>
      </c>
      <c r="B13" s="5" t="inlineStr">
        <is>
          <t>Tầng chỉ dùng để định vị ("below L4/L5 level")</t>
        </is>
      </c>
      <c r="C13" s="5" t="inlineStr">
        <is>
          <t>Ghi tầng đĩa được nêu</t>
        </is>
      </c>
      <c r="D13" s="5" t="inlineStr"/>
    </row>
    <row r="14">
      <c r="A14" s="5" t="inlineStr">
        <is>
          <t>Q10</t>
        </is>
      </c>
      <c r="B14" s="5" t="inlineStr">
        <is>
          <t>Tầng không được nhắc</t>
        </is>
      </c>
      <c r="C14" s="5" t="inlineStr">
        <is>
          <t>Không ghi gì</t>
        </is>
      </c>
      <c r="D14" s="5" t="inlineStr">
        <is>
          <t>Không tự suy ra là bình thường</t>
        </is>
      </c>
    </row>
    <row r="15">
      <c r="A15" s="5" t="inlineStr">
        <is>
          <t>Q11</t>
        </is>
      </c>
      <c r="B15" s="5" t="inlineStr">
        <is>
          <t>"nerve roots" / "exit nerve roots" / "exit (neural) canals" (số nhiều), không nói bên</t>
        </is>
      </c>
      <c r="C15" s="5" t="inlineStr">
        <is>
          <t>side = bilateral</t>
        </is>
      </c>
      <c r="D15" s="5" t="inlineStr">
        <is>
          <t>Số nhiều = hai bên; số ít ("exit canal") → unspecified</t>
        </is>
      </c>
    </row>
    <row r="16">
      <c r="A16" s="5" t="inlineStr">
        <is>
          <t>Q12</t>
        </is>
      </c>
      <c r="B16" s="5" t="inlineStr">
        <is>
          <t>Câu phủ định khuôn mẫu KHÔNG có tầng (vd "No significant thecal sac or nerve root compression", "adequate spinal canal") đứng sau câu có tầng</t>
        </is>
      </c>
      <c r="C16" s="5" t="inlineStr">
        <is>
          <t>level = UNSPEC, không lấy tầng của câu trước</t>
        </is>
      </c>
      <c r="D16" s="5" t="inlineStr">
        <is>
          <t>Câu khuôn mẫu nói chung cho cả phim</t>
        </is>
      </c>
    </row>
    <row r="18">
      <c r="A18" s="3" t="inlineStr">
        <is>
          <t>Mức độ (severity) – chỉ cho dòng present = TRUE</t>
        </is>
      </c>
    </row>
    <row r="19">
      <c r="A19" s="4" t="inlineStr">
        <is>
          <t>Giá trị</t>
        </is>
      </c>
      <c r="B19" s="4" t="inlineStr">
        <is>
          <t>Từ trong ghi chú</t>
        </is>
      </c>
    </row>
    <row r="20">
      <c r="A20" s="5" t="inlineStr">
        <is>
          <t>mild</t>
        </is>
      </c>
      <c r="B20" s="5" t="inlineStr">
        <is>
          <t>mild, mildly, minimal, small, slight</t>
        </is>
      </c>
    </row>
    <row r="21">
      <c r="A21" s="5" t="inlineStr">
        <is>
          <t>moderate</t>
        </is>
      </c>
      <c r="B21" s="5" t="inlineStr">
        <is>
          <t>moderate</t>
        </is>
      </c>
    </row>
    <row r="22">
      <c r="A22" s="5" t="inlineStr">
        <is>
          <t>severe</t>
        </is>
      </c>
      <c r="B22" s="5" t="inlineStr">
        <is>
          <t>severe, significant(ly), marked, largely</t>
        </is>
      </c>
    </row>
    <row r="23">
      <c r="A23" s="5" t="inlineStr">
        <is>
          <t>unspecified</t>
        </is>
      </c>
      <c r="B23" s="5" t="inlineStr">
        <is>
          <t>Không có từ chỉ mức độ, hoặc dòng FALSE</t>
        </is>
      </c>
    </row>
    <row r="25">
      <c r="A25" s="3" t="inlineStr">
        <is>
          <t>Bên (side) – chỉ cho dòng present = TRUE</t>
        </is>
      </c>
    </row>
    <row r="26">
      <c r="A26" s="4" t="inlineStr">
        <is>
          <t>Giá trị</t>
        </is>
      </c>
      <c r="B26" s="4" t="inlineStr">
        <is>
          <t>Từ trong ghi chú</t>
        </is>
      </c>
    </row>
    <row r="27">
      <c r="A27" s="5" t="inlineStr">
        <is>
          <t>left</t>
        </is>
      </c>
      <c r="B27" s="5" t="inlineStr">
        <is>
          <t>left, Lt</t>
        </is>
      </c>
    </row>
    <row r="28">
      <c r="A28" s="5" t="inlineStr">
        <is>
          <t>right</t>
        </is>
      </c>
      <c r="B28" s="5" t="inlineStr">
        <is>
          <t>right, Rt</t>
        </is>
      </c>
    </row>
    <row r="29">
      <c r="A29" s="5" t="inlineStr">
        <is>
          <t>bilateral</t>
        </is>
      </c>
      <c r="B29" s="5" t="inlineStr">
        <is>
          <t>both, bilateral; "nerve roots", "exit canals" số nhiều (Q11)</t>
        </is>
      </c>
    </row>
    <row r="30">
      <c r="A30" s="5" t="inlineStr">
        <is>
          <t>central</t>
        </is>
      </c>
      <c r="B30" s="5" t="inlineStr">
        <is>
          <t>central, median</t>
        </is>
      </c>
    </row>
    <row r="31">
      <c r="A31" s="5" t="inlineStr">
        <is>
          <t>unspecified</t>
        </is>
      </c>
      <c r="B31" s="5" t="inlineStr">
        <is>
          <t>Không nói bên, hoặc dòng FALSE</t>
        </is>
      </c>
    </row>
    <row r="33" ht="32" customHeight="1">
      <c r="A33" s="6" t="inlineStr">
        <is>
          <t>Chỉ dùng từ gắn với CHÍNH phát hiện đó: "disc protrusion, largely compressing the thecal sac" → "largely" thuộc về chèn ép, không thuộc về protrusion.</t>
        </is>
      </c>
    </row>
  </sheetData>
  <mergeCells count="1"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7" customWidth="1" min="4" max="4"/>
    <col width="26" customWidth="1" min="5" max="5"/>
    <col width="9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Ví dụ gán nhãn – bệnh nhân 4</t>
        </is>
      </c>
    </row>
    <row r="2">
      <c r="A2" s="2" t="inlineStr">
        <is>
          <t>Ghi chú này thuộc tập phát triển, KHÔNG nằm trong danh sách cần gán.</t>
        </is>
      </c>
    </row>
    <row r="4">
      <c r="A4" s="7" t="inlineStr">
        <is>
          <t>Ghi chú gốc:</t>
        </is>
      </c>
    </row>
    <row r="5" ht="48" customHeight="1">
      <c r="A5" s="6" t="inlineStr">
        <is>
          <t xml:space="preserve">Feature of muscle spasm.
Diffuse disc bulges noted at L4/L5 &amp;L5/S1 levels, mildly compressing the thecal sac and encroaching exit nerve roots </t>
        </is>
      </c>
    </row>
    <row r="7">
      <c r="A7" s="4" t="inlineStr">
        <is>
          <t>patient_id</t>
        </is>
      </c>
      <c r="B7" s="4" t="inlineStr">
        <is>
          <t>level</t>
        </is>
      </c>
      <c r="C7" s="4" t="inlineStr">
        <is>
          <t>vertebra</t>
        </is>
      </c>
      <c r="D7" s="4" t="inlineStr">
        <is>
          <t>root</t>
        </is>
      </c>
      <c r="E7" s="4" t="inlineStr">
        <is>
          <t>finding</t>
        </is>
      </c>
      <c r="F7" s="4" t="inlineStr">
        <is>
          <t>present</t>
        </is>
      </c>
      <c r="G7" s="4" t="inlineStr">
        <is>
          <t>severity</t>
        </is>
      </c>
      <c r="H7" s="4" t="inlineStr">
        <is>
          <t>side</t>
        </is>
      </c>
      <c r="I7" s="4" t="inlineStr">
        <is>
          <t>giải thích</t>
        </is>
      </c>
    </row>
    <row r="8">
      <c r="A8" s="5" t="n">
        <v>4</v>
      </c>
      <c r="B8" s="5" t="inlineStr">
        <is>
          <t>UNSPEC</t>
        </is>
      </c>
      <c r="C8" s="5" t="inlineStr"/>
      <c r="D8" s="5" t="inlineStr"/>
      <c r="E8" s="5" t="inlineStr">
        <is>
          <t>muscle_spasm</t>
        </is>
      </c>
      <c r="F8" s="5" t="inlineStr">
        <is>
          <t>TRUE</t>
        </is>
      </c>
      <c r="G8" s="5" t="inlineStr">
        <is>
          <t>unspecified</t>
        </is>
      </c>
      <c r="H8" s="5" t="inlineStr">
        <is>
          <t>unspecified</t>
        </is>
      </c>
      <c r="I8" s="5" t="inlineStr">
        <is>
          <t>Q7: câu không nhắc tầng</t>
        </is>
      </c>
    </row>
    <row r="9">
      <c r="A9" s="5" t="n">
        <v>4</v>
      </c>
      <c r="B9" s="5" t="inlineStr">
        <is>
          <t>L4-L5</t>
        </is>
      </c>
      <c r="C9" s="5" t="inlineStr"/>
      <c r="D9" s="5" t="inlineStr"/>
      <c r="E9" s="5" t="inlineStr">
        <is>
          <t>disc_bulge</t>
        </is>
      </c>
      <c r="F9" s="5" t="inlineStr">
        <is>
          <t>TRUE</t>
        </is>
      </c>
      <c r="G9" s="5" t="inlineStr">
        <is>
          <t>unspecified</t>
        </is>
      </c>
      <c r="H9" s="5" t="inlineStr">
        <is>
          <t>unspecified</t>
        </is>
      </c>
      <c r="I9" s="5" t="inlineStr">
        <is>
          <t>Một câu nhắc 2 tầng → mỗi tầng 1 dòng</t>
        </is>
      </c>
    </row>
    <row r="10">
      <c r="A10" s="5" t="n">
        <v>4</v>
      </c>
      <c r="B10" s="5" t="inlineStr">
        <is>
          <t>L4-L5</t>
        </is>
      </c>
      <c r="C10" s="5" t="inlineStr"/>
      <c r="D10" s="5" t="inlineStr"/>
      <c r="E10" s="5" t="inlineStr">
        <is>
          <t>thecal_sac_compression</t>
        </is>
      </c>
      <c r="F10" s="5" t="inlineStr">
        <is>
          <t>TRUE</t>
        </is>
      </c>
      <c r="G10" s="5" t="inlineStr">
        <is>
          <t>mild</t>
        </is>
      </c>
      <c r="H10" s="5" t="inlineStr">
        <is>
          <t>unspecified</t>
        </is>
      </c>
      <c r="I10" s="5" t="inlineStr">
        <is>
          <t>"mildly compressing" → mild</t>
        </is>
      </c>
    </row>
    <row r="11">
      <c r="A11" s="5" t="n">
        <v>4</v>
      </c>
      <c r="B11" s="5" t="inlineStr">
        <is>
          <t>L4-L5</t>
        </is>
      </c>
      <c r="C11" s="5" t="inlineStr"/>
      <c r="D11" s="5" t="inlineStr"/>
      <c r="E11" s="5" t="inlineStr">
        <is>
          <t>nerve_root_compression</t>
        </is>
      </c>
      <c r="F11" s="5" t="inlineStr">
        <is>
          <t>TRUE</t>
        </is>
      </c>
      <c r="G11" s="5" t="inlineStr">
        <is>
          <t>unspecified</t>
        </is>
      </c>
      <c r="H11" s="5" t="inlineStr">
        <is>
          <t>bilateral</t>
        </is>
      </c>
      <c r="I11" s="5" t="inlineStr">
        <is>
          <t>Q2 "encroaching"; Q11 "roots" số nhiều</t>
        </is>
      </c>
    </row>
    <row r="12">
      <c r="A12" s="5" t="n">
        <v>4</v>
      </c>
      <c r="B12" s="5" t="inlineStr">
        <is>
          <t>L5-S1</t>
        </is>
      </c>
      <c r="C12" s="5" t="inlineStr"/>
      <c r="D12" s="5" t="inlineStr"/>
      <c r="E12" s="5" t="inlineStr">
        <is>
          <t>disc_bulge</t>
        </is>
      </c>
      <c r="F12" s="5" t="inlineStr">
        <is>
          <t>TRUE</t>
        </is>
      </c>
      <c r="G12" s="5" t="inlineStr">
        <is>
          <t>unspecified</t>
        </is>
      </c>
      <c r="H12" s="5" t="inlineStr">
        <is>
          <t>unspecified</t>
        </is>
      </c>
      <c r="I12" s="5" t="inlineStr"/>
    </row>
    <row r="13">
      <c r="A13" s="5" t="n">
        <v>4</v>
      </c>
      <c r="B13" s="5" t="inlineStr">
        <is>
          <t>L5-S1</t>
        </is>
      </c>
      <c r="C13" s="5" t="inlineStr"/>
      <c r="D13" s="5" t="inlineStr"/>
      <c r="E13" s="5" t="inlineStr">
        <is>
          <t>thecal_sac_compression</t>
        </is>
      </c>
      <c r="F13" s="5" t="inlineStr">
        <is>
          <t>TRUE</t>
        </is>
      </c>
      <c r="G13" s="5" t="inlineStr">
        <is>
          <t>mild</t>
        </is>
      </c>
      <c r="H13" s="5" t="inlineStr">
        <is>
          <t>unspecified</t>
        </is>
      </c>
      <c r="I13" s="5" t="inlineStr"/>
    </row>
    <row r="14">
      <c r="A14" s="5" t="n">
        <v>4</v>
      </c>
      <c r="B14" s="5" t="inlineStr">
        <is>
          <t>L5-S1</t>
        </is>
      </c>
      <c r="C14" s="5" t="inlineStr"/>
      <c r="D14" s="5" t="inlineStr"/>
      <c r="E14" s="5" t="inlineStr">
        <is>
          <t>nerve_root_compression</t>
        </is>
      </c>
      <c r="F14" s="5" t="inlineStr">
        <is>
          <t>TRUE</t>
        </is>
      </c>
      <c r="G14" s="5" t="inlineStr">
        <is>
          <t>unspecified</t>
        </is>
      </c>
      <c r="H14" s="5" t="inlineStr">
        <is>
          <t>bilateral</t>
        </is>
      </c>
      <c r="I14" s="5" t="inlineStr"/>
    </row>
  </sheetData>
  <mergeCells count="1">
    <mergeCell ref="A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0" customWidth="1" min="2" max="2"/>
    <col width="9" customWidth="1" min="3" max="3"/>
  </cols>
  <sheetData>
    <row r="1">
      <c r="A1" s="4" t="inlineStr">
        <is>
          <t>patient_id</t>
        </is>
      </c>
      <c r="B1" s="4" t="inlineStr">
        <is>
          <t>note</t>
        </is>
      </c>
      <c r="C1" s="4" t="inlineStr">
        <is>
          <t>da_gan</t>
        </is>
      </c>
    </row>
    <row r="2" ht="60" customHeight="1">
      <c r="A2" s="5" t="n">
        <v>13</v>
      </c>
      <c r="B2" s="5" t="inlineStr">
        <is>
          <t>L4-5 broad based central and left paracentral disc protrusion is noted compressing thecal sac and narrowing left neural foramen./// L5-S1: broad based degenerative central disc bulge is noted indenting thecal sac but not causing significant nerve root compression or foraminal narrowing.//// dehydrated L4-5 and L5-S1 intervetrebral discs./// vertebral bone marrow signal reconversion is noted.</t>
        </is>
      </c>
      <c r="C2" s="8">
        <f>COUNTIF(Labels!$A:$A,A2)</f>
        <v/>
      </c>
    </row>
    <row r="3" ht="90" customHeight="1">
      <c r="A3" s="5" t="n">
        <v>16</v>
      </c>
      <c r="B3" s="5" t="inlineStr">
        <is>
          <t>Lumbosacral MRI
Features of muscle spasm
Dissicating   lower disc space noted
-Central and left paracentral disc protrusion noted at L4-L5 level compressing the thecal sac and Lt exit nerve root 
-Diffuse Disc bulges noted at the L5-S1 level , mild compressing the thecal sac and exiting nerve root.</t>
        </is>
      </c>
      <c r="C3" s="8">
        <f>COUNTIF(Labels!$A:$A,A3)</f>
        <v/>
      </c>
    </row>
    <row r="4" ht="45" customHeight="1">
      <c r="A4" s="5" t="n">
        <v>26</v>
      </c>
      <c r="B4" s="5" t="inlineStr">
        <is>
          <t>LSS MRI 
No evidence of disc herniation. 
No signidant thecal sac or nerve root compression noted.</t>
        </is>
      </c>
      <c r="C4" s="8">
        <f>COUNTIF(Labels!$A:$A,A4)</f>
        <v/>
      </c>
    </row>
    <row r="5" ht="18" customHeight="1">
      <c r="A5" s="5" t="n">
        <v>27</v>
      </c>
      <c r="B5" s="5" t="inlineStr">
        <is>
          <t xml:space="preserve">L2-3: broad based right paramedin disc extrusion is noted slightly migrating downwards </t>
        </is>
      </c>
      <c r="C5" s="8">
        <f>COUNTIF(Labels!$A:$A,A5)</f>
        <v/>
      </c>
    </row>
    <row r="6" ht="45" customHeight="1">
      <c r="A6" s="5" t="n">
        <v>33</v>
      </c>
      <c r="B6" s="5" t="inlineStr">
        <is>
          <t>LSS MRI
No evidence of disc herniation noted.
No significant thecal sac or nerve root compression noted.</t>
        </is>
      </c>
      <c r="C6" s="8">
        <f>COUNTIF(Labels!$A:$A,A6)</f>
        <v/>
      </c>
    </row>
    <row r="7" ht="60" customHeight="1">
      <c r="A7" s="5" t="n">
        <v>52</v>
      </c>
      <c r="B7" s="5" t="inlineStr">
        <is>
          <t xml:space="preserve">Lumbosacral MRI
Feature of muscle spasm
Diffuse disc bulge noted at L3/L4 &amp; and L5-S1levels,  mild compressing the thecal sac and mild encroaching exiting neural canal,associated with annular tear at L5-S1 
</t>
        </is>
      </c>
      <c r="C7" s="8">
        <f>COUNTIF(Labels!$A:$A,A7)</f>
        <v/>
      </c>
    </row>
    <row r="8" ht="45" customHeight="1">
      <c r="A8" s="5" t="n">
        <v>63</v>
      </c>
      <c r="B8" s="5" t="inlineStr">
        <is>
          <t xml:space="preserve">LSS MRI: 
Feature of muscle spasm. 
Mild diffuse disc bulges noted at L4/L5&amp;L5/S1 levels , mild compressing thecal sac and exit nerve roots .
</t>
        </is>
      </c>
      <c r="C8" s="8">
        <f>COUNTIF(Labels!$A:$A,A8)</f>
        <v/>
      </c>
    </row>
    <row r="9" ht="30" customHeight="1">
      <c r="A9" s="5" t="n">
        <v>78</v>
      </c>
      <c r="B9" s="5" t="inlineStr">
        <is>
          <t xml:space="preserve">No evidence of disc herniation.
No significant thecal sac or nerve root compression noted.
</t>
        </is>
      </c>
      <c r="C9" s="8">
        <f>COUNTIF(Labels!$A:$A,A9)</f>
        <v/>
      </c>
    </row>
    <row r="10" ht="60" customHeight="1">
      <c r="A10" s="5" t="n">
        <v>83</v>
      </c>
      <c r="B10" s="5" t="inlineStr">
        <is>
          <t xml:space="preserve">Lumbosacral MRI 
Diffuse disc bulge noted at L4-5 level compressing the thecal sac and exit neural canals 
Left paracentral and foraminal disc protrusion noted at L5-S1 level compressing the thecal sac and left exit neural,
</t>
        </is>
      </c>
      <c r="C10" s="8">
        <f>COUNTIF(Labels!$A:$A,A10)</f>
        <v/>
      </c>
    </row>
    <row r="11" ht="90" customHeight="1">
      <c r="A11" s="5" t="n">
        <v>91</v>
      </c>
      <c r="B11" s="5" t="inlineStr">
        <is>
          <t xml:space="preserve">LSS MRI : 
scoliosis of lumbar spine noted. 
dissicating disc materials . 
Wedging fracture of L2 vertebral body mostly dut to old insult . 
Grade II spondylolithesis of L4 over L5 level. 
Diffuse disc bulges noted at L5/S1 level mild compressing thecal sac 
</t>
        </is>
      </c>
      <c r="C11" s="8">
        <f>COUNTIF(Labels!$A:$A,A11)</f>
        <v/>
      </c>
    </row>
    <row r="12" ht="45" customHeight="1">
      <c r="A12" s="5" t="n">
        <v>96</v>
      </c>
      <c r="B12" s="5" t="inlineStr">
        <is>
          <t xml:space="preserve">LSS MRI 
Lt paracentral disc protrusion noted at L5-S1 level, abutting the thecal sac and Lt S1 nerve root. 
adequate spinal canal.
</t>
        </is>
      </c>
      <c r="C12" s="8">
        <f>COUNTIF(Labels!$A:$A,A12)</f>
        <v/>
      </c>
    </row>
    <row r="13" ht="60" customHeight="1">
      <c r="A13" s="5" t="n">
        <v>97</v>
      </c>
      <c r="B13" s="5" t="inlineStr">
        <is>
          <t>LSS MRI:
feature of muscle spasm.
Wide base focal disc bulge , more to Lt sided, noted at L5/S1 level, compressing thecal sac and both exit nerve roots associated with dehydrated disc material.</t>
        </is>
      </c>
      <c r="C13" s="8">
        <f>COUNTIF(Labels!$A:$A,A13)</f>
        <v/>
      </c>
    </row>
    <row r="14" ht="75" customHeight="1">
      <c r="A14" s="5" t="n">
        <v>105</v>
      </c>
      <c r="B14" s="5" t="inlineStr">
        <is>
          <t xml:space="preserve">LSS MRI : 
-Feature of muscle spasm 
-Multiple schmorls noted and suggetsive limbus veterba at anterio-superior corner of L4 . 
-Mild diffuse disc bulges noted at L4/L5 and L5/S1 levels, mild compressing tehcal sac and both nerve roots .
</t>
        </is>
      </c>
      <c r="C14" s="8">
        <f>COUNTIF(Labels!$A:$A,A14)</f>
        <v/>
      </c>
    </row>
    <row r="15" ht="75" customHeight="1">
      <c r="A15" s="5" t="n">
        <v>113</v>
      </c>
      <c r="B15" s="5" t="inlineStr">
        <is>
          <t xml:space="preserve"> Lumbosacral MRI 
Mild disc bulge noted at L5-S1 level 
No significant thecal sac or nerve root compression noted 
Adequate spinal canal
</t>
        </is>
      </c>
      <c r="C15" s="8">
        <f>COUNTIF(Labels!$A:$A,A15)</f>
        <v/>
      </c>
    </row>
    <row r="16" ht="18" customHeight="1">
      <c r="A16" s="5" t="n">
        <v>127</v>
      </c>
      <c r="B16" s="5" t="inlineStr">
        <is>
          <t>L4-L5: Diffuse disc bulge noted compressing the thecal sac and exit neural canals.</t>
        </is>
      </c>
      <c r="C16" s="8">
        <f>COUNTIF(Labels!$A:$A,A16)</f>
        <v/>
      </c>
    </row>
    <row r="17" ht="45" customHeight="1">
      <c r="A17" s="5" t="n">
        <v>131</v>
      </c>
      <c r="B17" s="5" t="inlineStr">
        <is>
          <t xml:space="preserve">LSS MRI 
Mild disc bulge noted at L4-L5 level. 
adequate spinal canal.
</t>
        </is>
      </c>
      <c r="C17" s="8">
        <f>COUNTIF(Labels!$A:$A,A17)</f>
        <v/>
      </c>
    </row>
    <row r="18" ht="30" customHeight="1">
      <c r="A18" s="5" t="n">
        <v>132</v>
      </c>
      <c r="B18" s="5" t="inlineStr">
        <is>
          <t xml:space="preserve">LSS MRI 
Rt paracentral disc protrusion noted compressing the thecal sac and Rt S1 nerve root.
</t>
        </is>
      </c>
      <c r="C18" s="8">
        <f>COUNTIF(Labels!$A:$A,A18)</f>
        <v/>
      </c>
    </row>
    <row r="19" ht="45" customHeight="1">
      <c r="A19" s="5" t="n">
        <v>159</v>
      </c>
      <c r="B19" s="5" t="inlineStr">
        <is>
          <t>Lumbosacral MRI
No evidence of disc herniation
The thecal sac or nerve root compression noted</t>
        </is>
      </c>
      <c r="C19" s="8">
        <f>COUNTIF(Labels!$A:$A,A19)</f>
        <v/>
      </c>
    </row>
    <row r="20" ht="60" customHeight="1">
      <c r="A20" s="5" t="n">
        <v>160</v>
      </c>
      <c r="B20" s="5" t="inlineStr">
        <is>
          <t xml:space="preserve">feature of muscle spasm. 
No significant thecal sac or nerve root compressing 
</t>
        </is>
      </c>
      <c r="C20" s="8">
        <f>COUNTIF(Labels!$A:$A,A20)</f>
        <v/>
      </c>
    </row>
    <row r="21" ht="30" customHeight="1">
      <c r="A21" s="5" t="n">
        <v>165</v>
      </c>
      <c r="B21" s="5" t="inlineStr">
        <is>
          <t>No evidence of disc herniation noted.
No significant thecal sac or nerve root compression noted.</t>
        </is>
      </c>
      <c r="C21" s="8">
        <f>COUNTIF(Labels!$A:$A,A21)</f>
        <v/>
      </c>
    </row>
    <row r="22" ht="75" customHeight="1">
      <c r="A22" s="5" t="n">
        <v>166</v>
      </c>
      <c r="B22" s="5" t="inlineStr">
        <is>
          <t xml:space="preserve">LSS MRI :
Feature of muscle spasm.
Diffuse disc bulge noted at L4/L5 level, mild compressing thecal  and both nerve roots .
NB:
lipoma of the filum terminale / filar lipoma is noted </t>
        </is>
      </c>
      <c r="C22" s="8">
        <f>COUNTIF(Labels!$A:$A,A22)</f>
        <v/>
      </c>
    </row>
    <row r="23" ht="45" customHeight="1">
      <c r="A23" s="5" t="n">
        <v>173</v>
      </c>
      <c r="B23" s="5" t="inlineStr">
        <is>
          <t xml:space="preserve">Old L1 compression fracture noted.
No evidence of disc herniation.
No significant thecal sac or nerve root compression noted.
</t>
        </is>
      </c>
      <c r="C23" s="8">
        <f>COUNTIF(Labels!$A:$A,A23)</f>
        <v/>
      </c>
    </row>
    <row r="24" ht="120" customHeight="1">
      <c r="A24" s="5" t="n">
        <v>174</v>
      </c>
      <c r="B24" s="5" t="inlineStr">
        <is>
          <t>LSS MRI :
-Feature of muscel spasm.
-Dissicating discal materials.
 -Modic type II noted L2/L3 level.
-Diffuse disc bulges noted at  L2/L3 &amp; L4/L5 levels ,compressing the thecal sac ,extending to  lateral recess -encroaching upon exit neural canals.
-Mild disc bulge noted at L3/L4 level, mildy compressing the thecal sac .</t>
        </is>
      </c>
      <c r="C24" s="8">
        <f>COUNTIF(Labels!$A:$A,A24)</f>
        <v/>
      </c>
    </row>
    <row r="25" ht="45" customHeight="1">
      <c r="A25" s="5" t="n">
        <v>176</v>
      </c>
      <c r="B25" s="5" t="inlineStr">
        <is>
          <t xml:space="preserve">LSS MRI 
L4-L5: Diffuse disc bulge, more to the Lt side, compressing the thecal sac and Lt exit canal. 
Adequate spinal canal.
</t>
        </is>
      </c>
      <c r="C25" s="8">
        <f>COUNTIF(Labels!$A:$A,A25)</f>
        <v/>
      </c>
    </row>
    <row r="26" ht="45" customHeight="1">
      <c r="A26" s="5" t="n">
        <v>183</v>
      </c>
      <c r="B26" s="5" t="inlineStr">
        <is>
          <t>LSS MRI
Multilevel diffuse disc bulges noted, noticeably at L4-L5 level, where it compresses the thecal sac and exit canals, more to the Rt side.</t>
        </is>
      </c>
      <c r="C26" s="8">
        <f>COUNTIF(Labels!$A:$A,A26)</f>
        <v/>
      </c>
    </row>
    <row r="27" ht="75" customHeight="1">
      <c r="A27" s="5" t="n">
        <v>186</v>
      </c>
      <c r="B27" s="5" t="inlineStr">
        <is>
          <t xml:space="preserve">LSS MRI : 
.Feature of muscle spasm. 
Dissicating disc materials noted . 
.Multilevel diffuse disc bulges, notceably noted at L3/L4 &amp; L4/L5 levels, compressing the thecal sac and encroaching upon exit neural canals . 
</t>
        </is>
      </c>
      <c r="C27" s="8">
        <f>COUNTIF(Labels!$A:$A,A27)</f>
        <v/>
      </c>
    </row>
    <row r="28" ht="45" customHeight="1">
      <c r="A28" s="5" t="n">
        <v>191</v>
      </c>
      <c r="B28" s="5" t="inlineStr">
        <is>
          <t>Multilevel diffuse disc bulges with facet joint hypertrophy and ligamentum hypertrophy.
At L4-L5 level mild spondylolisthesis noted.
Spinal canal appeared narrow at L3-L4 and L4-L5 levels.</t>
        </is>
      </c>
      <c r="C28" s="8">
        <f>COUNTIF(Labels!$A:$A,A28)</f>
        <v/>
      </c>
    </row>
    <row r="29" ht="60" customHeight="1">
      <c r="A29" s="5" t="n">
        <v>193</v>
      </c>
      <c r="B29" s="5" t="inlineStr">
        <is>
          <t xml:space="preserve">LSS MRI 
Features of muscle spasm noted. 
multilevel schmorls nodule noted 
Lt foraminal disc protrusion noted at L4-L5 level, compressing the thecal sac and Lt L5 NERVE ROOT.
</t>
        </is>
      </c>
      <c r="C29" s="8">
        <f>COUNTIF(Labels!$A:$A,A29)</f>
        <v/>
      </c>
    </row>
    <row r="30" ht="18" customHeight="1">
      <c r="A30" s="5" t="n">
        <v>198</v>
      </c>
      <c r="B30" s="5" t="inlineStr">
        <is>
          <t>Rt paracentral disc protrusion noted compressing the thecal sac.</t>
        </is>
      </c>
      <c r="C30" s="8">
        <f>COUNTIF(Labels!$A:$A,A30)</f>
        <v/>
      </c>
    </row>
    <row r="31" ht="60" customHeight="1">
      <c r="A31" s="5" t="n">
        <v>201</v>
      </c>
      <c r="B31" s="5" t="inlineStr">
        <is>
          <t xml:space="preserve">LSS MRI :
Feature of muscle spasm.
Central and to the Lt,  disc protrusion noted  at L5/S1 level relatively compressing thecal sac and encroaching exit neural canal , with dissicating disc material </t>
        </is>
      </c>
      <c r="C31" s="8">
        <f>COUNTIF(Labels!$A:$A,A31)</f>
        <v/>
      </c>
    </row>
    <row r="32" ht="45" customHeight="1">
      <c r="A32" s="5" t="n">
        <v>202</v>
      </c>
      <c r="B32" s="5" t="inlineStr">
        <is>
          <t xml:space="preserve">
L3-L4 AND L5-S1: Mild disc bulges noted.
No significant thecal sac or nerve root compression noted.
</t>
        </is>
      </c>
      <c r="C32" s="8">
        <f>COUNTIF(Labels!$A:$A,A32)</f>
        <v/>
      </c>
    </row>
    <row r="33" ht="30" customHeight="1">
      <c r="A33" s="5" t="n">
        <v>203</v>
      </c>
      <c r="B33" s="5" t="inlineStr">
        <is>
          <t>Multilevel mild disc bulges noted abutting the thecal sac and encroaching exit canals.
The spinal canal is still adequate.</t>
        </is>
      </c>
      <c r="C33" s="8">
        <f>COUNTIF(Labels!$A:$A,A33)</f>
        <v/>
      </c>
    </row>
    <row r="34" ht="30" customHeight="1">
      <c r="A34" s="5" t="n">
        <v>222</v>
      </c>
      <c r="B34" s="5" t="inlineStr">
        <is>
          <t xml:space="preserve">L4-L5 AND L5-S1: diffuse disc bulges compressing the thecal sac and exit canals.
L3-L4: Mild disc bulge noted.
</t>
        </is>
      </c>
      <c r="C34" s="8">
        <f>COUNTIF(Labels!$A:$A,A34)</f>
        <v/>
      </c>
    </row>
    <row r="35" ht="75" customHeight="1">
      <c r="A35" s="5" t="n">
        <v>232</v>
      </c>
      <c r="B35" s="5" t="inlineStr">
        <is>
          <t xml:space="preserve">Lumbosacral MRI 
Diffuse disc bulge more to the left side at L5-S1 level compressing the thecal sac and left exit neural canal 
Diffuse disc bulge noted at L3-L4 level compressing the thecal sac and encroaching upon exit neural canals
</t>
        </is>
      </c>
      <c r="C35" s="8">
        <f>COUNTIF(Labels!$A:$A,A35)</f>
        <v/>
      </c>
    </row>
    <row r="36" ht="75" customHeight="1">
      <c r="A36" s="5" t="n">
        <v>236</v>
      </c>
      <c r="B36" s="5" t="inlineStr">
        <is>
          <t xml:space="preserve">LSS MRI :
feature of muscle spasm.
multiple schmorls nodules.
Left  sided foraminal lumbar disc protrusion  noted at L5/S1 level compressing Lt sided thecal sac and the exiting nerve root. </t>
        </is>
      </c>
      <c r="C36" s="8">
        <f>COUNTIF(Labels!$A:$A,A36)</f>
        <v/>
      </c>
    </row>
    <row r="37" ht="45" customHeight="1">
      <c r="A37" s="5" t="n">
        <v>239</v>
      </c>
      <c r="B37" s="5" t="inlineStr">
        <is>
          <t>LSS MRI
L5-S1 level: Lt paracentral disc protrusion noted, compressing the thecal sac and abutting the Lt S1 nerve root.</t>
        </is>
      </c>
      <c r="C37" s="8">
        <f>COUNTIF(Labels!$A:$A,A37)</f>
        <v/>
      </c>
    </row>
    <row r="38" ht="45" customHeight="1">
      <c r="A38" s="5" t="n">
        <v>247</v>
      </c>
      <c r="B38" s="5" t="inlineStr">
        <is>
          <t xml:space="preserve">LSS MRI :
Feature of muscle spasm.
Diffuse disc bulges noted at L3/L4&amp; L4/L5 levels, mildly compressing the thecal sac and exit nerve roots </t>
        </is>
      </c>
      <c r="C38" s="8">
        <f>COUNTIF(Labels!$A:$A,A38)</f>
        <v/>
      </c>
    </row>
    <row r="39" ht="45" customHeight="1">
      <c r="A39" s="5" t="n">
        <v>248</v>
      </c>
      <c r="B39" s="5" t="inlineStr">
        <is>
          <t xml:space="preserve">LSS MRI 
mild disc bulge noted at L5-S1 level. 
No significant thecal sac or nerve root compresion noted.
</t>
        </is>
      </c>
      <c r="C39" s="8">
        <f>COUNTIF(Labels!$A:$A,A39)</f>
        <v/>
      </c>
    </row>
    <row r="40" ht="60" customHeight="1">
      <c r="A40" s="5" t="n">
        <v>253</v>
      </c>
      <c r="B40" s="5" t="inlineStr">
        <is>
          <t xml:space="preserve">Lumbosacral MRI
Diffuse disc bulge noted at L3-L4 level significantly compressing the thecal sac ,extending to Lt lateral recess   and encroaching exiting neural canal
Diffuse disc bulge noted at L4-L5 level mild compressing the thecal sac nerve roots </t>
        </is>
      </c>
      <c r="C40" s="8">
        <f>COUNTIF(Labels!$A:$A,A40)</f>
        <v/>
      </c>
    </row>
    <row r="41" ht="30" customHeight="1">
      <c r="A41" s="5" t="n">
        <v>266</v>
      </c>
      <c r="B41" s="5" t="inlineStr">
        <is>
          <t xml:space="preserve">L4-L5: Lt paracentral disc protrusion, compressing the thecal sac 
T12-L1: Diffuse disc bulge noted abutting the cord
</t>
        </is>
      </c>
      <c r="C41" s="8">
        <f>COUNTIF(Labels!$A:$A,A41)</f>
        <v/>
      </c>
    </row>
    <row r="42" ht="60" customHeight="1">
      <c r="A42" s="5" t="n">
        <v>278</v>
      </c>
      <c r="B42" s="5" t="inlineStr">
        <is>
          <t xml:space="preserve">
LSS MRI 
Diffuse disc bulge noted at L5-S1 level, more to the Rt side, compressing the thecal sac and Rt exit canal.
</t>
        </is>
      </c>
      <c r="C42" s="8">
        <f>COUNTIF(Labels!$A:$A,A42)</f>
        <v/>
      </c>
    </row>
    <row r="43" ht="75" customHeight="1">
      <c r="A43" s="5" t="n">
        <v>283</v>
      </c>
      <c r="B43" s="5" t="inlineStr">
        <is>
          <t>LSS MRI :
-Feature of muscle spasm.
-wide base disc bulge noted at L5/S1 level, compressing the theca sac and both nerve roots .
-Diffuse disc bulge noted at L4/L5 level, mildly compressing the thecal sac and encroching exit neural canal.</t>
        </is>
      </c>
      <c r="C43" s="8">
        <f>COUNTIF(Labels!$A:$A,A43)</f>
        <v/>
      </c>
    </row>
    <row r="44" ht="45" customHeight="1">
      <c r="A44" s="5" t="n">
        <v>297</v>
      </c>
      <c r="B44" s="5" t="inlineStr">
        <is>
          <t xml:space="preserve">LSS MRI :
Feature of muscle spasm.
Mild diffuse disc bulge noted at L4/L5&amp;L5/S1 levels, mild compressing thecal sac  and both nerve roots </t>
        </is>
      </c>
      <c r="C44" s="8">
        <f>COUNTIF(Labels!$A:$A,A44)</f>
        <v/>
      </c>
    </row>
    <row r="45" ht="75" customHeight="1">
      <c r="A45" s="5" t="n">
        <v>307</v>
      </c>
      <c r="B45" s="5" t="inlineStr">
        <is>
          <t xml:space="preserve">LSS MRI: 
Muscle spasm noted. 
Desiccated disc material noted 
Multilevel diffuse disc bulge noted, notecibly at L3-L4 and L4-L5 Mildly compressing the thecal sac and significantly encroaching exiting neural canals 
</t>
        </is>
      </c>
      <c r="C45" s="8">
        <f>COUNTIF(Labels!$A:$A,A45)</f>
        <v/>
      </c>
    </row>
    <row r="46" ht="60" customHeight="1">
      <c r="A46" s="5" t="n">
        <v>313</v>
      </c>
      <c r="B46" s="5" t="inlineStr">
        <is>
          <t xml:space="preserve">LSS MRI : 
Feature of muscle spasm. 
No significant thecal sac or nerve roots compression. 
No disc protrusion or herniation seen 
</t>
        </is>
      </c>
      <c r="C46" s="8">
        <f>COUNTIF(Labels!$A:$A,A46)</f>
        <v/>
      </c>
    </row>
    <row r="47" ht="60" customHeight="1">
      <c r="A47" s="5" t="n">
        <v>319</v>
      </c>
      <c r="B47" s="5" t="inlineStr">
        <is>
          <t xml:space="preserve">LSS MRI WITH CONTRAST 
Previous surgery noted. 
mild Rt paracentral inhomogenous enhancement noted at L4-L5 level, mostly postoperative granulatiobn/fibrous tissue.
</t>
        </is>
      </c>
      <c r="C47" s="8">
        <f>COUNTIF(Labels!$A:$A,A47)</f>
        <v/>
      </c>
    </row>
    <row r="48" ht="18" customHeight="1">
      <c r="A48" s="5" t="n">
        <v>331</v>
      </c>
      <c r="B48" s="5" t="inlineStr">
        <is>
          <t>L4-L5: Diffuse disc bulge compressing the thecal sac and encroaching exit canals.</t>
        </is>
      </c>
      <c r="C48" s="8">
        <f>COUNTIF(Labels!$A:$A,A48)</f>
        <v/>
      </c>
    </row>
    <row r="49" ht="105" customHeight="1">
      <c r="A49" s="5" t="n">
        <v>336</v>
      </c>
      <c r="B49" s="5" t="inlineStr">
        <is>
          <t xml:space="preserve">LSS MRI : 
-Multilevel dissicating disc materials noted . 
-Degenrative spondolytic chnages 
-Diffuse disc bulges noted mostly at L4/L5 level , compressing the thecal sac and encroaching exit neural canals associated with ligamnetum flavum hyperatrophy , all leading to secandary spinal canal stenosis . 
-Diffuse disc bulges noted at L5/S1 level, compressing thecal sac and both nerve roots 
</t>
        </is>
      </c>
      <c r="C49" s="8">
        <f>COUNTIF(Labels!$A:$A,A49)</f>
        <v/>
      </c>
    </row>
    <row r="50" ht="45" customHeight="1">
      <c r="A50" s="5" t="n">
        <v>343</v>
      </c>
      <c r="B50" s="5" t="inlineStr">
        <is>
          <t xml:space="preserve">L5-S1: Rt paracentral disc protrusion compressing the thecal sac and Rt exit canal.
L4-L5: Diffuse disc bulge noted compressing the thecal sac and encroaching exit canals.
</t>
        </is>
      </c>
      <c r="C50" s="8">
        <f>COUNTIF(Labels!$A:$A,A50)</f>
        <v/>
      </c>
    </row>
    <row r="51" ht="45" customHeight="1">
      <c r="A51" s="5" t="n">
        <v>346</v>
      </c>
      <c r="B51" s="5" t="inlineStr">
        <is>
          <t>No evidence of disc herniation.
No significant thecal sac or nerve root compression noted.
Adequate spinal canal.</t>
        </is>
      </c>
      <c r="C51" s="8">
        <f>COUNTIF(Labels!$A:$A,A51)</f>
        <v/>
      </c>
    </row>
    <row r="52" ht="30" customHeight="1">
      <c r="A52" s="5" t="n">
        <v>365</v>
      </c>
      <c r="B52" s="5" t="inlineStr">
        <is>
          <t>Mild disc bulge noted at L4-L5 level noted more to the Rt side.
Adequate spinal canal.</t>
        </is>
      </c>
      <c r="C52" s="8">
        <f>COUNTIF(Labels!$A:$A,A52)</f>
        <v/>
      </c>
    </row>
    <row r="53" ht="18" customHeight="1">
      <c r="A53" s="5" t="n">
        <v>371</v>
      </c>
      <c r="B53" s="5" t="inlineStr">
        <is>
          <t>Multilevel diffuse disc bulges compressing the thecal sac and exit neural canals</t>
        </is>
      </c>
      <c r="C53" s="8">
        <f>COUNTIF(Labels!$A:$A,A53)</f>
        <v/>
      </c>
    </row>
    <row r="54" ht="75" customHeight="1">
      <c r="A54" s="5" t="n">
        <v>372</v>
      </c>
      <c r="B54" s="5" t="inlineStr">
        <is>
          <t xml:space="preserve"> Lumbosacral MRI 
Mild disc bulges noted at L3-L4 and L4-L5 levels 
Compressing the thecal sac and encroaching exit neural canals 
Facet joint hypertrophy noted at L5-S1
</t>
        </is>
      </c>
      <c r="C54" s="8">
        <f>COUNTIF(Labels!$A:$A,A54)</f>
        <v/>
      </c>
    </row>
    <row r="55" ht="105" customHeight="1">
      <c r="A55" s="5" t="n">
        <v>375</v>
      </c>
      <c r="B55" s="5" t="inlineStr">
        <is>
          <t xml:space="preserve">LSS MRI : 
Feature of muscle spasm. 
Diffuse disc bulge with posteriocentral disc protrusion ,noted at L5/S1 level, compressing thecal sac and encroaching exit neural canal. 
Diffuse disc bulge ,noted at L3/L4&amp; L4/L5 levels, compressing thecal sac and encroaching exit neural canal. 
NB:Multiple small tarlovs cysts noted 
</t>
        </is>
      </c>
      <c r="C55" s="8">
        <f>COUNTIF(Labels!$A:$A,A55)</f>
        <v/>
      </c>
    </row>
    <row r="56" ht="45" customHeight="1">
      <c r="A56" s="5" t="n">
        <v>377</v>
      </c>
      <c r="B56" s="5" t="inlineStr">
        <is>
          <t xml:space="preserve">LSS MRI 
Small, Rt paracentral disc protrusion noted at L5-S1 level, abutting Rt S1 nerve root. 
adequate spinal canal.
</t>
        </is>
      </c>
      <c r="C56" s="8">
        <f>COUNTIF(Labels!$A:$A,A56)</f>
        <v/>
      </c>
    </row>
    <row r="57" ht="75" customHeight="1">
      <c r="A57" s="5" t="n">
        <v>381</v>
      </c>
      <c r="B57" s="5" t="inlineStr">
        <is>
          <t xml:space="preserve">LSS MRI 
L3-L4: Diffuse disc bulge, more to the Rt side, compressing the thecal sac and Rt exit neural canal. 
L4-L5: Diffuse disc bulge, compressing the thecal sac and exit neural canals. 
L5-S1: Broad-based disc protrusion noted, more to the Lt side, compressing the thecal sac and Lt exit canal. 
</t>
        </is>
      </c>
      <c r="C57" s="8">
        <f>COUNTIF(Labels!$A:$A,A57)</f>
        <v/>
      </c>
    </row>
    <row r="58" ht="45" customHeight="1">
      <c r="A58" s="5" t="n">
        <v>384</v>
      </c>
      <c r="B58" s="5" t="inlineStr">
        <is>
          <t>LSS MRI 
No evidence of disc herniation. 
No significant thecal sac or nerve root compression.</t>
        </is>
      </c>
      <c r="C58" s="8">
        <f>COUNTIF(Labels!$A:$A,A58)</f>
        <v/>
      </c>
    </row>
    <row r="59" ht="45" customHeight="1">
      <c r="A59" s="5" t="n">
        <v>386</v>
      </c>
      <c r="B59" s="5" t="inlineStr">
        <is>
          <t>L4-L5: diffuse disc bulge noted with facet joint hypertrophy, compressing the thecal sac and encroaching exit canals.
The spinal canal is still adequate.</t>
        </is>
      </c>
      <c r="C59" s="8">
        <f>COUNTIF(Labels!$A:$A,A59)</f>
        <v/>
      </c>
    </row>
    <row r="60" ht="90" customHeight="1">
      <c r="A60" s="5" t="n">
        <v>401</v>
      </c>
      <c r="B60" s="5" t="inlineStr">
        <is>
          <t xml:space="preserve">LSS MRI : 
Feature of muscle spasm. 
Grade I spondylolithesis of L3 over L4 vertebral body as well as modec type I noted. 
multilevel diffuse disc bulges noted , noceably at L4/L5 level, compressing tehcal sac and both nerve roots . 
scoliosis of Lumbar spine noted, convexity to Ltside 
</t>
        </is>
      </c>
      <c r="C60" s="8">
        <f>COUNTIF(Labels!$A:$A,A60)</f>
        <v/>
      </c>
    </row>
    <row r="61" ht="60" customHeight="1">
      <c r="A61" s="5" t="n">
        <v>415</v>
      </c>
      <c r="B61" s="5" t="inlineStr">
        <is>
          <t>L3-L4, L4-L5:
Diffuse disc bulges noted with facet joint hypertrophy, noticeably at L4-L5 level where mild spondylolisthesis noted, compressing the thecal sac and encroaching exit canals.
The spinal canal is still adequate</t>
        </is>
      </c>
      <c r="C61" s="8">
        <f>COUNTIF(Labels!$A:$A,A61)</f>
        <v/>
      </c>
    </row>
    <row r="62" ht="75" customHeight="1">
      <c r="A62" s="5" t="n">
        <v>420</v>
      </c>
      <c r="B62" s="5" t="inlineStr">
        <is>
          <t xml:space="preserve">LSS MRI : 
Feature of muscle spasm. 
No significant disc protrusion or herniation seen. 
No thecal sac or exit nerve root compression noted . 
Preserved vertebral bodies hieght and bone marrow signal intensity seen. 
</t>
        </is>
      </c>
      <c r="C62" s="8">
        <f>COUNTIF(Labels!$A:$A,A62)</f>
        <v/>
      </c>
    </row>
    <row r="63" ht="75" customHeight="1">
      <c r="A63" s="5" t="n">
        <v>430</v>
      </c>
      <c r="B63" s="5" t="inlineStr">
        <is>
          <t xml:space="preserve">LSS MRI : 
FEATure of muscle spasm. 
Diffuse disc bulge with Lt para central disc protrusion &amp; sequestration , noted at L5/S1, largely compressing the thecal sac and encroaching exit neural canal, with narrowed disc space and dehydrated disc material. 
</t>
        </is>
      </c>
      <c r="C63" s="8">
        <f>COUNTIF(Labels!$A:$A,A63)</f>
        <v/>
      </c>
    </row>
    <row r="64" ht="45" customHeight="1">
      <c r="A64" s="5" t="n">
        <v>434</v>
      </c>
      <c r="B64" s="5" t="inlineStr">
        <is>
          <t xml:space="preserve">Lumbosacral MRI 
Features of muscle spasm 
No significant thecal sac or nerve root compression 
</t>
        </is>
      </c>
      <c r="C64" s="8">
        <f>COUNTIF(Labels!$A:$A,A64)</f>
        <v/>
      </c>
    </row>
    <row r="65" ht="30" customHeight="1">
      <c r="A65" s="5" t="n">
        <v>453</v>
      </c>
      <c r="B65" s="5" t="inlineStr">
        <is>
          <t xml:space="preserve">LSS MRI 
Central disc protrusion noted at L5-S1 level compressing the thecal sac.
</t>
        </is>
      </c>
      <c r="C65" s="8">
        <f>COUNTIF(Labels!$A:$A,A65)</f>
        <v/>
      </c>
    </row>
    <row r="66" ht="150" customHeight="1">
      <c r="A66" s="5" t="n">
        <v>456</v>
      </c>
      <c r="B66" s="5" t="inlineStr">
        <is>
          <t xml:space="preserve"> LSS MRI : 
-Feature of muscle spasm. 
-Degenerative spondylotic changes. 
-Multilevel diffuse disc bulge noted, noteably at L3/L4 &amp; L4/L5 level, compressing thecal sac and encroaching both exit neural canals associated with ligamnetum flavum hypertrophy , all leading releatively secandary spinal canal stenosis . 
-Diffuse disc bulges with small Rt paracentral disc protrusion noted at L5/S1 level , compressing thecal sac and exit nerve roots 
</t>
        </is>
      </c>
      <c r="C66" s="8">
        <f>COUNTIF(Labels!$A:$A,A66)</f>
        <v/>
      </c>
    </row>
    <row r="67" ht="30" customHeight="1">
      <c r="A67" s="5" t="n">
        <v>467</v>
      </c>
      <c r="B67" s="5" t="inlineStr">
        <is>
          <t xml:space="preserve">L4-L5: Mild disc bulge noted.
L5-S1: Mild Lt paracentral disc protrusion noted abutting the thecal sac and encroaching LT EXIT CANAL
</t>
        </is>
      </c>
      <c r="C67" s="8">
        <f>COUNTIF(Labels!$A:$A,A67)</f>
        <v/>
      </c>
    </row>
    <row r="68" ht="30" customHeight="1">
      <c r="A68" s="5" t="n">
        <v>477</v>
      </c>
      <c r="B68" s="5" t="inlineStr">
        <is>
          <t xml:space="preserve">L5-S1: Lt paracentral disc protrusion, compressing the thecal sac.
L4-L5: Mild disc bulge with annular tear.
</t>
        </is>
      </c>
      <c r="C68" s="8">
        <f>COUNTIF(Labels!$A:$A,A68)</f>
        <v/>
      </c>
    </row>
    <row r="69" ht="60" customHeight="1">
      <c r="A69" s="5" t="n">
        <v>486</v>
      </c>
      <c r="B69" s="5" t="inlineStr">
        <is>
          <t xml:space="preserve">Lumbosacral MRI 
Mild disc bulge noted at L3-L4 level 
No evidence of disc Herniation at other levels noted 
Adequate the spinal canal 
</t>
        </is>
      </c>
      <c r="C69" s="8">
        <f>COUNTIF(Labels!$A:$A,A69)</f>
        <v/>
      </c>
    </row>
    <row r="70" ht="30" customHeight="1">
      <c r="A70" s="5" t="n">
        <v>487</v>
      </c>
      <c r="B70" s="5" t="inlineStr">
        <is>
          <t xml:space="preserve">No evidence of disc herniation.
No significant thecal sac or nerve root compression noted.
</t>
        </is>
      </c>
      <c r="C70" s="8">
        <f>COUNTIF(Labels!$A:$A,A70)</f>
        <v/>
      </c>
    </row>
    <row r="71" ht="105" customHeight="1">
      <c r="A71" s="5" t="n">
        <v>509</v>
      </c>
      <c r="B71" s="5" t="inlineStr">
        <is>
          <t xml:space="preserve">LSS MRI : 
-Feature of muscle spasm. 
-Dissicating disc materials at L4/L5 &amp; L5/S1 levels 
Diffuse disc bulge noted at L4/L5 level, compressing the theca sac and encroaching upon exit neural canal , with annular tear . 
-Small posterior central disc bulge noted at L5/S1 level, mildly compressing the thecal sac and exit nerve roots 
</t>
        </is>
      </c>
      <c r="C71" s="8">
        <f>COUNTIF(Labels!$A:$A,A71)</f>
        <v/>
      </c>
    </row>
    <row r="72" ht="60" customHeight="1">
      <c r="A72" s="5" t="n">
        <v>510</v>
      </c>
      <c r="B72" s="5" t="inlineStr">
        <is>
          <t xml:space="preserve">LSS MRI : 
Feature of muscle spasm. 
Partial dissicating disc material noted at L4/L5 level 
Diffuse disc bulg noted at L4/L5 level, compressing thecal sac andd both nerve roots 
</t>
        </is>
      </c>
      <c r="C72" s="8">
        <f>COUNTIF(Labels!$A:$A,A72)</f>
        <v/>
      </c>
    </row>
    <row r="73" ht="150" customHeight="1">
      <c r="A73" s="5" t="n">
        <v>512</v>
      </c>
      <c r="B73" s="5" t="inlineStr">
        <is>
          <t xml:space="preserve"> Lumbosacral MRI 
Feature of muscle spasm 
Desiccative disc material noted at the lower levels 
Multiple Schmorl's nodule noted 
Modic type II noted at the L5-S1 
L4-L5 leve:l 
wide based disc bulge noted ,mildly compressing the thecal sac and exiting nerve root 
L5-S1 level: 
Diffuse disc bulge noted compressing the thecal sac and encroaching upon the neural canals
</t>
        </is>
      </c>
      <c r="C73" s="8">
        <f>COUNTIF(Labels!$A:$A,A73)</f>
        <v/>
      </c>
    </row>
    <row r="74" ht="150" customHeight="1">
      <c r="A74" s="5" t="n">
        <v>515</v>
      </c>
      <c r="B74" s="5" t="inlineStr">
        <is>
          <t xml:space="preserve">MRI OF THE LUMBAR SPINE : 
Feature of muscle spasm. 
L4/L5 level: diffuse bulge noted, with annular tear mild compressing the thecal sac . 
No significant thecal sac compression . 
RT KNEE MRI : 
Tear of posterior horn of medial Meniscus. 
Joint effusion noted . 
No other abnormality seen 
</t>
        </is>
      </c>
      <c r="C74" s="8">
        <f>COUNTIF(Labels!$A:$A,A74)</f>
        <v/>
      </c>
    </row>
    <row r="75" ht="60" customHeight="1">
      <c r="A75" s="5" t="n">
        <v>517</v>
      </c>
      <c r="B75" s="5" t="inlineStr">
        <is>
          <t xml:space="preserve">LSS MRI 
Mild diosc bulges noted at L4-L5 and L5-S1 levels. 
No sigificant thecal sac or nerve root compressuion noted. 
adequate spinal canal
</t>
        </is>
      </c>
      <c r="C75" s="8">
        <f>COUNTIF(Labels!$A:$A,A75)</f>
        <v/>
      </c>
    </row>
    <row r="76" ht="45" customHeight="1">
      <c r="A76" s="5" t="n">
        <v>522</v>
      </c>
      <c r="B76" s="5" t="inlineStr">
        <is>
          <t xml:space="preserve">LSS MRI 
L4-L5: Diffuse disc bulge noted, compressing the thecal nsac and both exit canals. 
L5-S1: Mild disc bulge noted
</t>
        </is>
      </c>
      <c r="C76" s="8">
        <f>COUNTIF(Labels!$A:$A,A76)</f>
        <v/>
      </c>
    </row>
    <row r="77" ht="60" customHeight="1">
      <c r="A77" s="5" t="n">
        <v>529</v>
      </c>
      <c r="B77" s="5" t="inlineStr">
        <is>
          <t xml:space="preserve">C4-C5 
mild disc bulge noted compressing anterior CSF space with features iof m. spasm. 
L4-L5: Diffuse disc bulge compressing the thecal sac and exit canals.
</t>
        </is>
      </c>
      <c r="C77" s="8">
        <f>COUNTIF(Labels!$A:$A,A77)</f>
        <v/>
      </c>
    </row>
    <row r="78" ht="60" customHeight="1">
      <c r="A78" s="5" t="n">
        <v>534</v>
      </c>
      <c r="B78" s="5" t="inlineStr">
        <is>
          <t xml:space="preserve">LSS MRI : 
Feature of muscle spasm. 
Wide base disc bulge noted at L5/S1 level, mildy compressing the thecal sac and exit nerve roots associated with annular tear 
</t>
        </is>
      </c>
      <c r="C78" s="8">
        <f>COUNTIF(Labels!$A:$A,A78)</f>
        <v/>
      </c>
    </row>
    <row r="79" ht="18" customHeight="1">
      <c r="A79" s="5" t="n">
        <v>536</v>
      </c>
      <c r="B79" s="5" t="inlineStr">
        <is>
          <t>L4-l5: Diffuse disc bulge noted abutting the thecal sac and encroaching exit canals.</t>
        </is>
      </c>
      <c r="C79" s="8">
        <f>COUNTIF(Labels!$A:$A,A79)</f>
        <v/>
      </c>
    </row>
    <row r="80" ht="45" customHeight="1">
      <c r="A80" s="5" t="n">
        <v>547</v>
      </c>
      <c r="B80" s="5" t="inlineStr">
        <is>
          <t xml:space="preserve">Lumbosacral MRI 
There is inhomogeneously enhancing soft tissue in the left paracentral and foraminal area at L4-L5 level 
Mostly fibrosis compressing the thecal sac and left exit neural canal
</t>
        </is>
      </c>
      <c r="C80" s="8">
        <f>COUNTIF(Labels!$A:$A,A80)</f>
        <v/>
      </c>
    </row>
    <row r="81" ht="45" customHeight="1">
      <c r="A81" s="5" t="n">
        <v>559</v>
      </c>
      <c r="B81" s="5" t="inlineStr">
        <is>
          <t xml:space="preserve">L3-L4: Mild Rt paracentral disc protrusion abutting the thecal sac.
L4-L5: Mild central disc protrusion abutting the thecal sac.
L5-S1: Mild Lt paracentral disc protrusion abutting the thecal sac.  
</t>
        </is>
      </c>
      <c r="C81" s="8">
        <f>COUNTIF(Labels!$A:$A,A81)</f>
        <v/>
      </c>
    </row>
  </sheetData>
  <conditionalFormatting sqref="C2:C81">
    <cfRule type="cellIs" priority="1" operator="equal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30" customWidth="1" min="5" max="5"/>
    <col width="9" customWidth="1" min="6" max="6"/>
    <col width="12" customWidth="1" min="7" max="7"/>
    <col width="12" customWidth="1" min="8" max="8"/>
    <col width="45" customWidth="1" min="9" max="9"/>
  </cols>
  <sheetData>
    <row r="1">
      <c r="A1" s="4" t="inlineStr">
        <is>
          <t>patient_id</t>
        </is>
      </c>
      <c r="B1" s="4" t="inlineStr">
        <is>
          <t>level</t>
        </is>
      </c>
      <c r="C1" s="4" t="inlineStr">
        <is>
          <t>vertebra</t>
        </is>
      </c>
      <c r="D1" s="4" t="inlineStr">
        <is>
          <t>root</t>
        </is>
      </c>
      <c r="E1" s="4" t="inlineStr">
        <is>
          <t>finding</t>
        </is>
      </c>
      <c r="F1" s="4" t="inlineStr">
        <is>
          <t>present</t>
        </is>
      </c>
      <c r="G1" s="4" t="inlineStr">
        <is>
          <t>severity</t>
        </is>
      </c>
      <c r="H1" s="4" t="inlineStr">
        <is>
          <t>side</t>
        </is>
      </c>
      <c r="I1" s="4" t="inlineStr">
        <is>
          <t>comment</t>
        </is>
      </c>
    </row>
  </sheetData>
  <dataValidations count="7">
    <dataValidation sqref="A2:A1000" showDropDown="0" showInputMessage="1" showErrorMessage="0" allowBlank="1" errorTitle="Giá trị không hợp lệ" error="Hãy chọn từ danh sách thả xuống." promptTitle="patient_id" prompt="Mã bệnh nhân (chọn trong danh sách 80 mã ở sheet Notes)" type="list">
      <formula1>=Notes!$A$2:$A$81</formula1>
    </dataValidation>
    <dataValidation sqref="B2:B1000" showDropDown="0" showInputMessage="1" showErrorMessage="0" allowBlank="1" errorTitle="Giá trị không hợp lệ" error="Hãy chọn từ danh sách thả xuống." promptTitle="level" prompt="Tầng đĩa đệm của phát hiện" type="list">
      <formula1>=Lists!$A$1:$A$7</formula1>
    </dataValidation>
    <dataValidation sqref="C2:C1000" showDropDown="0" showInputMessage="1" showErrorMessage="0" allowBlank="1" errorTitle="Giá trị không hợp lệ" error="Hãy chọn từ danh sách thả xuống." promptTitle="vertebra" prompt="Chỉ khi phát hiện gắn với một ĐỐT (vd &quot;L2 vertebral body&quot;)" type="list">
      <formula1>=Lists!$B$1:$B$8</formula1>
    </dataValidation>
    <dataValidation sqref="E2:E1000" showDropDown="0" showInputMessage="1" showErrorMessage="0" allowBlank="1" errorTitle="Giá trị không hợp lệ" error="Hãy chọn từ danh sách thả xuống." promptTitle="finding" prompt="Loại phát hiện – tra bảng ở sheet NhanBenh" type="list">
      <formula1>=Lists!$C$1:$C$23</formula1>
    </dataValidation>
    <dataValidation sqref="F2:F1000" showDropDown="0" showInputMessage="1" showErrorMessage="0" allowBlank="1" errorTitle="Giá trị không hợp lệ" error="Hãy chọn từ danh sách thả xuống." promptTitle="present" prompt="TRUE = có; FALSE = bị phủ định (&quot;No evidence of …&quot;)" type="list">
      <formula1>=Lists!$D$1:$D$2</formula1>
    </dataValidation>
    <dataValidation sqref="G2:G1000" showDropDown="0" showInputMessage="1" showErrorMessage="0" allowBlank="1" errorTitle="Giá trị không hợp lệ" error="Hãy chọn từ danh sách thả xuống." promptTitle="severity" prompt="Mức độ – tra bảng ở sheet QuyUoc" type="list">
      <formula1>=Lists!$E$1:$E$4</formula1>
    </dataValidation>
    <dataValidation sqref="H2:H1000" showDropDown="0" showInputMessage="1" showErrorMessage="0" allowBlank="1" errorTitle="Giá trị không hợp lệ" error="Hãy chọn từ danh sách thả xuống." promptTitle="side" prompt="Bên – tra bảng ở sheet QuyUoc" type="list">
      <formula1>=Lists!$F$1:$F$5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T12-L1</t>
        </is>
      </c>
      <c r="B1" t="inlineStr"/>
      <c r="C1" t="inlineStr">
        <is>
          <t>disc_bulge</t>
        </is>
      </c>
      <c r="D1" t="inlineStr">
        <is>
          <t>TRUE</t>
        </is>
      </c>
      <c r="E1" t="inlineStr">
        <is>
          <t>unspecified</t>
        </is>
      </c>
      <c r="F1" t="inlineStr">
        <is>
          <t>unspecified</t>
        </is>
      </c>
    </row>
    <row r="2">
      <c r="A2" t="inlineStr">
        <is>
          <t>L1-L2</t>
        </is>
      </c>
      <c r="B2" t="inlineStr">
        <is>
          <t>T12</t>
        </is>
      </c>
      <c r="C2" t="inlineStr">
        <is>
          <t>disc_protrusion</t>
        </is>
      </c>
      <c r="D2" t="inlineStr">
        <is>
          <t>FALSE</t>
        </is>
      </c>
      <c r="E2" t="inlineStr">
        <is>
          <t>mild</t>
        </is>
      </c>
      <c r="F2" t="inlineStr">
        <is>
          <t>left</t>
        </is>
      </c>
    </row>
    <row r="3">
      <c r="A3" t="inlineStr">
        <is>
          <t>L2-L3</t>
        </is>
      </c>
      <c r="B3" t="inlineStr">
        <is>
          <t>L1</t>
        </is>
      </c>
      <c r="C3" t="inlineStr">
        <is>
          <t>disc_herniation</t>
        </is>
      </c>
      <c r="E3" t="inlineStr">
        <is>
          <t>moderate</t>
        </is>
      </c>
      <c r="F3" t="inlineStr">
        <is>
          <t>right</t>
        </is>
      </c>
    </row>
    <row r="4">
      <c r="A4" t="inlineStr">
        <is>
          <t>L3-L4</t>
        </is>
      </c>
      <c r="B4" t="inlineStr">
        <is>
          <t>L2</t>
        </is>
      </c>
      <c r="C4" t="inlineStr">
        <is>
          <t>thecal_sac_compression</t>
        </is>
      </c>
      <c r="E4" t="inlineStr">
        <is>
          <t>severe</t>
        </is>
      </c>
      <c r="F4" t="inlineStr">
        <is>
          <t>bilateral</t>
        </is>
      </c>
    </row>
    <row r="5">
      <c r="A5" t="inlineStr">
        <is>
          <t>L4-L5</t>
        </is>
      </c>
      <c r="B5" t="inlineStr">
        <is>
          <t>L3</t>
        </is>
      </c>
      <c r="C5" t="inlineStr">
        <is>
          <t>nerve_root_compression</t>
        </is>
      </c>
      <c r="F5" t="inlineStr">
        <is>
          <t>central</t>
        </is>
      </c>
    </row>
    <row r="6">
      <c r="A6" t="inlineStr">
        <is>
          <t>L5-S1</t>
        </is>
      </c>
      <c r="B6" t="inlineStr">
        <is>
          <t>L4</t>
        </is>
      </c>
      <c r="C6" t="inlineStr">
        <is>
          <t>foraminal_stenosis</t>
        </is>
      </c>
    </row>
    <row r="7">
      <c r="A7" t="inlineStr">
        <is>
          <t>UNSPEC</t>
        </is>
      </c>
      <c r="B7" t="inlineStr">
        <is>
          <t>L5</t>
        </is>
      </c>
      <c r="C7" t="inlineStr">
        <is>
          <t>spinal_canal_stenosis</t>
        </is>
      </c>
    </row>
    <row r="8">
      <c r="B8" t="inlineStr">
        <is>
          <t>S1</t>
        </is>
      </c>
      <c r="C8" t="inlineStr">
        <is>
          <t>annular_tear</t>
        </is>
      </c>
    </row>
    <row r="9">
      <c r="C9" t="inlineStr">
        <is>
          <t>disc_desiccation</t>
        </is>
      </c>
    </row>
    <row r="10">
      <c r="C10" t="inlineStr">
        <is>
          <t>muscle_spasm</t>
        </is>
      </c>
    </row>
    <row r="11">
      <c r="C11" t="inlineStr">
        <is>
          <t>spondylolisthesis</t>
        </is>
      </c>
    </row>
    <row r="12">
      <c r="C12" t="inlineStr">
        <is>
          <t>endplate_degeneration</t>
        </is>
      </c>
    </row>
    <row r="13">
      <c r="C13" t="inlineStr">
        <is>
          <t>schmorl_nodes</t>
        </is>
      </c>
    </row>
    <row r="14">
      <c r="C14" t="inlineStr">
        <is>
          <t>bone_marrow_lesion</t>
        </is>
      </c>
    </row>
    <row r="15">
      <c r="C15" t="inlineStr">
        <is>
          <t>ligamentum_flavum_hypertrophy</t>
        </is>
      </c>
    </row>
    <row r="16">
      <c r="C16" t="inlineStr">
        <is>
          <t>facet_arthropathy</t>
        </is>
      </c>
    </row>
    <row r="17">
      <c r="C17" t="inlineStr">
        <is>
          <t>scoliosis</t>
        </is>
      </c>
    </row>
    <row r="18">
      <c r="C18" t="inlineStr">
        <is>
          <t>tarlov_cyst</t>
        </is>
      </c>
    </row>
    <row r="19">
      <c r="C19" t="inlineStr">
        <is>
          <t>vertebral_fracture</t>
        </is>
      </c>
    </row>
    <row r="20">
      <c r="C20" t="inlineStr">
        <is>
          <t>osteophyte</t>
        </is>
      </c>
    </row>
    <row r="21">
      <c r="C21" t="inlineStr">
        <is>
          <t>disc_space_narrowing</t>
        </is>
      </c>
    </row>
    <row r="22">
      <c r="C22" t="inlineStr">
        <is>
          <t>other</t>
        </is>
      </c>
    </row>
    <row r="23">
      <c r="C2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2026-10-16T01:50:16Z</dcterms:created>
  <dcterms:modified xsi:type="dcterms:W3CDTF">2026-10-16T01:50:16Z</dcterms:modified>
</cp:coreProperties>
</file>